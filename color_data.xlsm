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SO Backup\_Post-grad Research\cc\Main_functions\"/>
    </mc:Choice>
  </mc:AlternateContent>
  <xr:revisionPtr revIDLastSave="0" documentId="13_ncr:1_{1A0E730B-CB1B-4C52-B6F6-373546AC431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Zoey" sheetId="2" r:id="rId2"/>
    <sheet name="Ellipse con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8" i="3" l="1"/>
  <c r="N18" i="3"/>
  <c r="M18" i="3"/>
  <c r="P18" i="3" s="1"/>
  <c r="O17" i="3"/>
  <c r="N17" i="3"/>
  <c r="M17" i="3"/>
  <c r="P17" i="3" s="1"/>
  <c r="O16" i="3"/>
  <c r="N16" i="3"/>
  <c r="P16" i="3" s="1"/>
  <c r="M16" i="3"/>
  <c r="O15" i="3"/>
  <c r="N15" i="3"/>
  <c r="M15" i="3"/>
  <c r="P15" i="3" s="1"/>
  <c r="O14" i="3"/>
  <c r="N14" i="3"/>
  <c r="M14" i="3"/>
  <c r="P14" i="3" s="1"/>
  <c r="O13" i="3"/>
  <c r="N13" i="3"/>
  <c r="P13" i="3" s="1"/>
  <c r="M13" i="3"/>
  <c r="O12" i="3"/>
  <c r="N12" i="3"/>
  <c r="M12" i="3"/>
  <c r="P12" i="3" s="1"/>
  <c r="O11" i="3"/>
  <c r="N11" i="3"/>
  <c r="M11" i="3"/>
  <c r="P11" i="3" s="1"/>
  <c r="P2" i="3"/>
  <c r="P3" i="3"/>
  <c r="P4" i="3"/>
  <c r="P5" i="3"/>
  <c r="P6" i="3"/>
  <c r="P7" i="3"/>
  <c r="P8" i="3"/>
  <c r="P9" i="3"/>
  <c r="M3" i="3"/>
  <c r="N3" i="3"/>
  <c r="O3" i="3"/>
  <c r="M4" i="3"/>
  <c r="N4" i="3"/>
  <c r="O4" i="3"/>
  <c r="M5" i="3"/>
  <c r="N5" i="3"/>
  <c r="O5" i="3"/>
  <c r="M6" i="3"/>
  <c r="N6" i="3"/>
  <c r="O6" i="3"/>
  <c r="M7" i="3"/>
  <c r="N7" i="3"/>
  <c r="O7" i="3"/>
  <c r="M8" i="3"/>
  <c r="N8" i="3"/>
  <c r="O8" i="3"/>
  <c r="M9" i="3"/>
  <c r="N9" i="3"/>
  <c r="O9" i="3"/>
  <c r="O2" i="3"/>
  <c r="N2" i="3"/>
  <c r="M2" i="3"/>
  <c r="P20" i="2"/>
  <c r="P19" i="2"/>
  <c r="P18" i="2"/>
  <c r="P17" i="2"/>
  <c r="P16" i="2"/>
  <c r="P15" i="2"/>
  <c r="P14" i="2"/>
  <c r="P13" i="2"/>
  <c r="P3" i="2"/>
  <c r="P4" i="2"/>
  <c r="P5" i="2"/>
  <c r="P6" i="2"/>
  <c r="P7" i="2"/>
  <c r="P8" i="2"/>
  <c r="P9" i="2"/>
  <c r="P10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O3" i="2"/>
  <c r="N3" i="2"/>
  <c r="M3" i="2"/>
  <c r="U93" i="1"/>
  <c r="U94" i="1"/>
  <c r="U95" i="1"/>
  <c r="U96" i="1"/>
  <c r="U97" i="1"/>
  <c r="U98" i="1"/>
  <c r="U99" i="1"/>
  <c r="U92" i="1"/>
  <c r="O99" i="1" l="1"/>
  <c r="N99" i="1"/>
  <c r="M99" i="1"/>
  <c r="P99" i="1" s="1"/>
  <c r="O98" i="1"/>
  <c r="N98" i="1"/>
  <c r="M98" i="1"/>
  <c r="P98" i="1" s="1"/>
  <c r="O97" i="1"/>
  <c r="N97" i="1"/>
  <c r="M97" i="1"/>
  <c r="O96" i="1"/>
  <c r="N96" i="1"/>
  <c r="M96" i="1"/>
  <c r="P96" i="1" s="1"/>
  <c r="O95" i="1"/>
  <c r="N95" i="1"/>
  <c r="M95" i="1"/>
  <c r="P95" i="1" s="1"/>
  <c r="O94" i="1"/>
  <c r="N94" i="1"/>
  <c r="M94" i="1"/>
  <c r="P94" i="1" s="1"/>
  <c r="P93" i="1"/>
  <c r="O93" i="1"/>
  <c r="N93" i="1"/>
  <c r="M93" i="1"/>
  <c r="O92" i="1"/>
  <c r="N92" i="1"/>
  <c r="M92" i="1"/>
  <c r="V62" i="1"/>
  <c r="W62" i="1"/>
  <c r="X62" i="1"/>
  <c r="V63" i="1"/>
  <c r="W63" i="1"/>
  <c r="X63" i="1"/>
  <c r="V64" i="1"/>
  <c r="W64" i="1"/>
  <c r="X64" i="1"/>
  <c r="V65" i="1"/>
  <c r="W65" i="1"/>
  <c r="X65" i="1"/>
  <c r="V66" i="1"/>
  <c r="W66" i="1"/>
  <c r="X66" i="1"/>
  <c r="V67" i="1"/>
  <c r="W67" i="1"/>
  <c r="X67" i="1"/>
  <c r="V68" i="1"/>
  <c r="W68" i="1"/>
  <c r="X68" i="1"/>
  <c r="W61" i="1"/>
  <c r="X61" i="1"/>
  <c r="V61" i="1"/>
  <c r="R68" i="1"/>
  <c r="Q68" i="1"/>
  <c r="P68" i="1"/>
  <c r="S68" i="1" s="1"/>
  <c r="R67" i="1"/>
  <c r="Q67" i="1"/>
  <c r="P67" i="1"/>
  <c r="R66" i="1"/>
  <c r="Q66" i="1"/>
  <c r="P66" i="1"/>
  <c r="S66" i="1" s="1"/>
  <c r="R65" i="1"/>
  <c r="Q65" i="1"/>
  <c r="P65" i="1"/>
  <c r="R64" i="1"/>
  <c r="Q64" i="1"/>
  <c r="P64" i="1"/>
  <c r="S64" i="1" s="1"/>
  <c r="R63" i="1"/>
  <c r="S63" i="1" s="1"/>
  <c r="Q63" i="1"/>
  <c r="P63" i="1"/>
  <c r="R62" i="1"/>
  <c r="Q62" i="1"/>
  <c r="P62" i="1"/>
  <c r="R61" i="1"/>
  <c r="Q61" i="1"/>
  <c r="P61" i="1"/>
  <c r="P54" i="1"/>
  <c r="Q54" i="1"/>
  <c r="R54" i="1"/>
  <c r="P55" i="1"/>
  <c r="S55" i="1" s="1"/>
  <c r="Q55" i="1"/>
  <c r="R55" i="1"/>
  <c r="P56" i="1"/>
  <c r="Q56" i="1"/>
  <c r="S56" i="1" s="1"/>
  <c r="R56" i="1"/>
  <c r="P57" i="1"/>
  <c r="Q57" i="1"/>
  <c r="R57" i="1"/>
  <c r="P58" i="1"/>
  <c r="Q58" i="1"/>
  <c r="R58" i="1"/>
  <c r="S58" i="1" s="1"/>
  <c r="P59" i="1"/>
  <c r="Q59" i="1"/>
  <c r="R59" i="1"/>
  <c r="S59" i="1"/>
  <c r="P60" i="1"/>
  <c r="Q60" i="1"/>
  <c r="S60" i="1" s="1"/>
  <c r="R60" i="1"/>
  <c r="R53" i="1"/>
  <c r="Q53" i="1"/>
  <c r="P53" i="1"/>
  <c r="S53" i="1" s="1"/>
  <c r="P44" i="1"/>
  <c r="S44" i="1" s="1"/>
  <c r="Q44" i="1"/>
  <c r="R44" i="1"/>
  <c r="P45" i="1"/>
  <c r="S45" i="1" s="1"/>
  <c r="Q45" i="1"/>
  <c r="R45" i="1"/>
  <c r="P46" i="1"/>
  <c r="Q46" i="1"/>
  <c r="R46" i="1"/>
  <c r="S46" i="1"/>
  <c r="P47" i="1"/>
  <c r="Q47" i="1"/>
  <c r="R47" i="1"/>
  <c r="P48" i="1"/>
  <c r="Q48" i="1"/>
  <c r="R48" i="1"/>
  <c r="P49" i="1"/>
  <c r="Q49" i="1"/>
  <c r="R49" i="1"/>
  <c r="S49" i="1" s="1"/>
  <c r="P50" i="1"/>
  <c r="Q50" i="1"/>
  <c r="R50" i="1"/>
  <c r="R43" i="1"/>
  <c r="Q43" i="1"/>
  <c r="P43" i="1"/>
  <c r="R40" i="1"/>
  <c r="Q40" i="1"/>
  <c r="P40" i="1"/>
  <c r="S40" i="1" s="1"/>
  <c r="R39" i="1"/>
  <c r="Q39" i="1"/>
  <c r="P39" i="1"/>
  <c r="R38" i="1"/>
  <c r="Q38" i="1"/>
  <c r="P38" i="1"/>
  <c r="S38" i="1" s="1"/>
  <c r="R37" i="1"/>
  <c r="Q37" i="1"/>
  <c r="R36" i="1"/>
  <c r="Q36" i="1"/>
  <c r="P36" i="1"/>
  <c r="S36" i="1" s="1"/>
  <c r="R35" i="1"/>
  <c r="Q35" i="1"/>
  <c r="P35" i="1"/>
  <c r="S35" i="1" s="1"/>
  <c r="R34" i="1"/>
  <c r="Q34" i="1"/>
  <c r="S34" i="1" s="1"/>
  <c r="P34" i="1"/>
  <c r="R33" i="1"/>
  <c r="Q33" i="1"/>
  <c r="S33" i="1" s="1"/>
  <c r="Q23" i="1"/>
  <c r="S23" i="1" s="1"/>
  <c r="R23" i="1"/>
  <c r="P24" i="1"/>
  <c r="Q24" i="1"/>
  <c r="R24" i="1"/>
  <c r="P25" i="1"/>
  <c r="Q25" i="1"/>
  <c r="R25" i="1"/>
  <c r="P26" i="1"/>
  <c r="Q26" i="1"/>
  <c r="R26" i="1"/>
  <c r="Q27" i="1"/>
  <c r="S27" i="1" s="1"/>
  <c r="R27" i="1"/>
  <c r="P28" i="1"/>
  <c r="Q28" i="1"/>
  <c r="R28" i="1"/>
  <c r="P29" i="1"/>
  <c r="Q29" i="1"/>
  <c r="R29" i="1"/>
  <c r="P30" i="1"/>
  <c r="Q30" i="1"/>
  <c r="R30" i="1"/>
  <c r="M71" i="1"/>
  <c r="N71" i="1"/>
  <c r="O71" i="1"/>
  <c r="N72" i="1"/>
  <c r="O72" i="1"/>
  <c r="M73" i="1"/>
  <c r="N73" i="1"/>
  <c r="O73" i="1"/>
  <c r="M74" i="1"/>
  <c r="N74" i="1"/>
  <c r="O74" i="1"/>
  <c r="M75" i="1"/>
  <c r="N75" i="1"/>
  <c r="O75" i="1"/>
  <c r="M83" i="1"/>
  <c r="P83" i="1" s="1"/>
  <c r="N83" i="1"/>
  <c r="O83" i="1"/>
  <c r="M84" i="1"/>
  <c r="N84" i="1"/>
  <c r="O84" i="1"/>
  <c r="M85" i="1"/>
  <c r="N85" i="1"/>
  <c r="O85" i="1"/>
  <c r="M86" i="1"/>
  <c r="N86" i="1"/>
  <c r="O86" i="1"/>
  <c r="M87" i="1"/>
  <c r="P87" i="1" s="1"/>
  <c r="N87" i="1"/>
  <c r="O87" i="1"/>
  <c r="M88" i="1"/>
  <c r="N88" i="1"/>
  <c r="O88" i="1"/>
  <c r="M89" i="1"/>
  <c r="N89" i="1"/>
  <c r="O89" i="1"/>
  <c r="N82" i="1"/>
  <c r="O82" i="1"/>
  <c r="M82" i="1"/>
  <c r="P82" i="1" s="1"/>
  <c r="S37" i="1" l="1"/>
  <c r="S67" i="1"/>
  <c r="S47" i="1"/>
  <c r="S54" i="1"/>
  <c r="S39" i="1"/>
  <c r="S57" i="1"/>
  <c r="S61" i="1"/>
  <c r="S65" i="1"/>
  <c r="P92" i="1"/>
  <c r="S62" i="1"/>
  <c r="S43" i="1"/>
  <c r="S48" i="1"/>
  <c r="P97" i="1"/>
  <c r="S50" i="1"/>
  <c r="S24" i="1"/>
  <c r="S25" i="1"/>
  <c r="S28" i="1"/>
  <c r="S30" i="1"/>
  <c r="S26" i="1"/>
  <c r="S29" i="1"/>
  <c r="P89" i="1"/>
  <c r="P85" i="1"/>
  <c r="P84" i="1"/>
  <c r="P88" i="1"/>
  <c r="P86" i="1"/>
  <c r="P73" i="1"/>
  <c r="P72" i="1"/>
  <c r="P71" i="1"/>
  <c r="P75" i="1"/>
  <c r="P74" i="1"/>
</calcChain>
</file>

<file path=xl/sharedStrings.xml><?xml version="1.0" encoding="utf-8"?>
<sst xmlns="http://schemas.openxmlformats.org/spreadsheetml/2006/main" count="56" uniqueCount="41">
  <si>
    <t>R</t>
  </si>
  <si>
    <t>G</t>
  </si>
  <si>
    <t>B</t>
  </si>
  <si>
    <t>DKL_LM</t>
  </si>
  <si>
    <t>DKL_SLM</t>
  </si>
  <si>
    <t>DKL_Lum</t>
  </si>
  <si>
    <t>M_LM</t>
  </si>
  <si>
    <t>MM_SLM</t>
  </si>
  <si>
    <t>MM_Lum</t>
  </si>
  <si>
    <t>mmR</t>
  </si>
  <si>
    <t>mmG</t>
  </si>
  <si>
    <t>mmB</t>
  </si>
  <si>
    <t>Lum</t>
  </si>
  <si>
    <t>radius</t>
  </si>
  <si>
    <t>azimuth</t>
  </si>
  <si>
    <t>elevation</t>
  </si>
  <si>
    <t>Recreate their function!</t>
  </si>
  <si>
    <t>All convs</t>
  </si>
  <si>
    <t>back_lms</t>
  </si>
  <si>
    <t>Sph</t>
  </si>
  <si>
    <t>LMS</t>
  </si>
  <si>
    <t>RGB</t>
  </si>
  <si>
    <t>My attempt</t>
  </si>
  <si>
    <t>THEIRS</t>
  </si>
  <si>
    <t>and back</t>
  </si>
  <si>
    <t>dkl</t>
  </si>
  <si>
    <t>lms</t>
  </si>
  <si>
    <t>direction==regular; cartorder=lumlmslm</t>
  </si>
  <si>
    <t>direction==classic; cartorder=lumlmslm</t>
  </si>
  <si>
    <t>then: direction==regular; cartorder=lumlmslm</t>
  </si>
  <si>
    <t>rgb</t>
  </si>
  <si>
    <t>Orig sent to Zoey</t>
  </si>
  <si>
    <t>sph</t>
  </si>
  <si>
    <t>cart</t>
  </si>
  <si>
    <t>back</t>
  </si>
  <si>
    <t>mmrgb</t>
  </si>
  <si>
    <t>mmdkl</t>
  </si>
  <si>
    <t>dkl_adj</t>
  </si>
  <si>
    <t>maxCont</t>
  </si>
  <si>
    <t>Angle</t>
  </si>
  <si>
    <t>DKL cart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</si>
</sst>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FF4881"/>
        <bgColor indexed="64"/>
      </patternFill>
    </fill>
    <fill>
      <patternFill patternType="solid">
        <fgColor rgb="FFDA5E6D"/>
        <bgColor indexed="64"/>
      </patternFill>
    </fill>
    <fill>
      <patternFill patternType="solid">
        <fgColor rgb="FF7B8765"/>
        <bgColor indexed="64"/>
      </patternFill>
    </fill>
    <fill>
      <patternFill patternType="solid">
        <fgColor rgb="FF1FAC6C"/>
        <bgColor indexed="64"/>
      </patternFill>
    </fill>
    <fill>
      <patternFill patternType="solid">
        <fgColor rgb="FF00B77E"/>
        <bgColor indexed="64"/>
      </patternFill>
    </fill>
    <fill>
      <patternFill patternType="solid">
        <fgColor rgb="FF25A192"/>
        <bgColor indexed="64"/>
      </patternFill>
    </fill>
    <fill>
      <patternFill patternType="solid">
        <fgColor rgb="FF84789A"/>
        <bgColor indexed="64"/>
      </patternFill>
    </fill>
    <fill>
      <patternFill patternType="solid">
        <fgColor rgb="FFE05393"/>
        <bgColor indexed="64"/>
      </patternFill>
    </fill>
    <fill>
      <patternFill patternType="solid">
        <fgColor rgb="FFF84D81"/>
        <bgColor indexed="64"/>
      </patternFill>
    </fill>
    <fill>
      <patternFill patternType="solid">
        <fgColor rgb="FFD55C7F"/>
        <bgColor indexed="64"/>
      </patternFill>
    </fill>
    <fill>
      <patternFill patternType="solid">
        <fgColor rgb="FF7F807E"/>
        <bgColor indexed="64"/>
      </patternFill>
    </fill>
    <fill>
      <patternFill patternType="solid">
        <fgColor rgb="FF2AA47D"/>
        <bgColor indexed="64"/>
      </patternFill>
    </fill>
    <fill>
      <patternFill patternType="solid">
        <fgColor rgb="FF07B27E"/>
        <bgColor indexed="64"/>
      </patternFill>
    </fill>
    <fill>
      <patternFill patternType="solid">
        <fgColor rgb="FF2AA380"/>
        <bgColor indexed="64"/>
      </patternFill>
    </fill>
    <fill>
      <patternFill patternType="solid">
        <fgColor rgb="FF807F81"/>
        <bgColor indexed="64"/>
      </patternFill>
    </fill>
    <fill>
      <patternFill patternType="solid">
        <fgColor rgb="FFD55B82"/>
        <bgColor indexed="64"/>
      </patternFill>
    </fill>
    <fill>
      <patternFill patternType="solid">
        <fgColor rgb="FFFF5181"/>
        <bgColor indexed="64"/>
      </patternFill>
    </fill>
    <fill>
      <patternFill patternType="solid">
        <fgColor rgb="FFDD5A92"/>
        <bgColor indexed="64"/>
      </patternFill>
    </fill>
    <fill>
      <patternFill patternType="solid">
        <fgColor rgb="FF847A99"/>
        <bgColor indexed="64"/>
      </patternFill>
    </fill>
    <fill>
      <patternFill patternType="solid">
        <fgColor rgb="FF289C90"/>
        <bgColor indexed="64"/>
      </patternFill>
    </fill>
    <fill>
      <patternFill patternType="solid">
        <fgColor rgb="FF00AE7E"/>
        <bgColor indexed="64"/>
      </patternFill>
    </fill>
    <fill>
      <patternFill patternType="solid">
        <fgColor rgb="FF22A56D"/>
        <bgColor indexed="64"/>
      </patternFill>
    </fill>
    <fill>
      <patternFill patternType="solid">
        <fgColor rgb="FF7B8566"/>
        <bgColor indexed="64"/>
      </patternFill>
    </fill>
    <fill>
      <patternFill patternType="solid">
        <fgColor rgb="FFD7636F"/>
        <bgColor indexed="64"/>
      </patternFill>
    </fill>
    <fill>
      <patternFill patternType="solid">
        <fgColor rgb="FFDF5B81"/>
        <bgColor indexed="64"/>
      </patternFill>
    </fill>
    <fill>
      <patternFill patternType="solid">
        <fgColor rgb="FFC46492"/>
        <bgColor indexed="64"/>
      </patternFill>
    </fill>
    <fill>
      <patternFill patternType="solid">
        <fgColor rgb="FF817D98"/>
        <bgColor indexed="64"/>
      </patternFill>
    </fill>
    <fill>
      <patternFill patternType="solid">
        <fgColor rgb="FF3D9790"/>
        <bgColor indexed="64"/>
      </patternFill>
    </fill>
    <fill>
      <patternFill patternType="solid">
        <fgColor rgb="FF20A47E"/>
        <bgColor indexed="64"/>
      </patternFill>
    </fill>
    <fill>
      <patternFill patternType="solid">
        <fgColor rgb="FF3B9B6D"/>
        <bgColor indexed="64"/>
      </patternFill>
    </fill>
    <fill>
      <patternFill patternType="solid">
        <fgColor rgb="FF7E8267"/>
        <bgColor indexed="64"/>
      </patternFill>
    </fill>
    <fill>
      <patternFill patternType="solid">
        <fgColor rgb="FFC2686F"/>
        <bgColor indexed="64"/>
      </patternFill>
    </fill>
    <fill>
      <patternFill patternType="solid">
        <fgColor rgb="FFFF4F82"/>
        <bgColor indexed="64"/>
      </patternFill>
    </fill>
    <fill>
      <patternFill patternType="solid">
        <fgColor rgb="FFFB4F8A"/>
        <bgColor indexed="64"/>
      </patternFill>
    </fill>
    <fill>
      <patternFill patternType="solid">
        <fgColor rgb="FFFC4E94"/>
        <bgColor indexed="64"/>
      </patternFill>
    </fill>
    <fill>
      <patternFill patternType="solid">
        <fgColor rgb="FFFC4DA2"/>
        <bgColor indexed="64"/>
      </patternFill>
    </fill>
    <fill>
      <patternFill patternType="solid">
        <fgColor rgb="FFFD4BB9"/>
        <bgColor indexed="64"/>
      </patternFill>
    </fill>
    <fill>
      <patternFill patternType="solid">
        <fgColor rgb="FFFF45F7"/>
        <bgColor indexed="64"/>
      </patternFill>
    </fill>
    <fill>
      <patternFill patternType="solid">
        <fgColor rgb="FF8772FF"/>
        <bgColor indexed="64"/>
      </patternFill>
    </fill>
    <fill>
      <patternFill patternType="solid">
        <fgColor rgb="FF03A5FF"/>
        <bgColor indexed="64"/>
      </patternFill>
    </fill>
    <fill>
      <patternFill patternType="solid">
        <fgColor rgb="FF01ABB8"/>
        <bgColor indexed="64"/>
      </patternFill>
    </fill>
    <fill>
      <patternFill patternType="solid">
        <fgColor rgb="FF03AC9E"/>
        <bgColor indexed="64"/>
      </patternFill>
    </fill>
    <fill>
      <patternFill patternType="solid">
        <fgColor rgb="FF01AF91"/>
        <bgColor indexed="64"/>
      </patternFill>
    </fill>
    <fill>
      <patternFill patternType="solid">
        <fgColor rgb="FF05AE86"/>
        <bgColor indexed="64"/>
      </patternFill>
    </fill>
    <fill>
      <patternFill patternType="solid">
        <fgColor rgb="FF00B07D"/>
        <bgColor indexed="64"/>
      </patternFill>
    </fill>
    <fill>
      <patternFill patternType="solid">
        <fgColor rgb="FF04B075"/>
        <bgColor indexed="64"/>
      </patternFill>
    </fill>
    <fill>
      <patternFill patternType="solid">
        <fgColor rgb="FF03B16B"/>
        <bgColor indexed="64"/>
      </patternFill>
    </fill>
    <fill>
      <patternFill patternType="solid">
        <fgColor rgb="FF03B25D"/>
        <bgColor indexed="64"/>
      </patternFill>
    </fill>
    <fill>
      <patternFill patternType="solid">
        <fgColor rgb="FF02B446"/>
        <bgColor indexed="64"/>
      </patternFill>
    </fill>
    <fill>
      <patternFill patternType="solid">
        <fgColor rgb="FF00BA08"/>
        <bgColor indexed="64"/>
      </patternFill>
    </fill>
    <fill>
      <patternFill patternType="solid">
        <fgColor rgb="FF788D00"/>
        <bgColor indexed="64"/>
      </patternFill>
    </fill>
    <fill>
      <patternFill patternType="solid">
        <fgColor rgb="FFFC5A00"/>
        <bgColor indexed="64"/>
      </patternFill>
    </fill>
    <fill>
      <patternFill patternType="solid">
        <fgColor rgb="FFFE5447"/>
        <bgColor indexed="64"/>
      </patternFill>
    </fill>
    <fill>
      <patternFill patternType="solid">
        <fgColor rgb="FFFC5361"/>
        <bgColor indexed="64"/>
      </patternFill>
    </fill>
    <fill>
      <patternFill patternType="solid">
        <fgColor rgb="FFFE506E"/>
        <bgColor indexed="64"/>
      </patternFill>
    </fill>
    <fill>
      <patternFill patternType="solid">
        <fgColor rgb="FFFA5179"/>
        <bgColor indexed="64"/>
      </patternFill>
    </fill>
    <fill>
      <patternFill patternType="solid">
        <fgColor rgb="FFFE4AA1"/>
        <bgColor indexed="64"/>
      </patternFill>
    </fill>
    <fill>
      <patternFill patternType="solid">
        <fgColor rgb="FF826CFE"/>
        <bgColor indexed="64"/>
      </patternFill>
    </fill>
    <fill>
      <patternFill patternType="solid">
        <fgColor rgb="FF02AB9D"/>
        <bgColor indexed="64"/>
      </patternFill>
    </fill>
    <fill>
      <patternFill patternType="solid">
        <fgColor rgb="FF01B55E"/>
        <bgColor indexed="64"/>
      </patternFill>
    </fill>
    <fill>
      <patternFill patternType="solid">
        <fgColor rgb="FF7D9301"/>
        <bgColor indexed="64"/>
      </patternFill>
    </fill>
    <fill>
      <patternFill patternType="solid">
        <fgColor rgb="FFFD546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80">
    <xf numFmtId="0" fontId="0" fillId="0" borderId="0" xfId="0"/>
    <xf numFmtId="11" fontId="0" fillId="0" borderId="0" xfId="0" applyNumberFormat="1"/>
    <xf numFmtId="0" fontId="2" fillId="3" borderId="0" xfId="2"/>
    <xf numFmtId="0" fontId="4" fillId="5" borderId="0" xfId="4"/>
    <xf numFmtId="0" fontId="1" fillId="2" borderId="0" xfId="1"/>
    <xf numFmtId="0" fontId="3" fillId="4" borderId="0" xfId="3"/>
    <xf numFmtId="11" fontId="4" fillId="5" borderId="0" xfId="4" applyNumberFormat="1"/>
    <xf numFmtId="11" fontId="2" fillId="3" borderId="0" xfId="2" applyNumberFormat="1"/>
    <xf numFmtId="11" fontId="3" fillId="4" borderId="0" xfId="3" applyNumberForma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5" fillId="6" borderId="0" xfId="2" applyFont="1" applyFill="1"/>
    <xf numFmtId="0" fontId="5" fillId="13" borderId="0" xfId="2" applyFont="1" applyFill="1"/>
    <xf numFmtId="0" fontId="5" fillId="12" borderId="0" xfId="2" applyFont="1" applyFill="1"/>
    <xf numFmtId="0" fontId="5" fillId="11" borderId="0" xfId="2" applyFont="1" applyFill="1"/>
    <xf numFmtId="0" fontId="5" fillId="10" borderId="0" xfId="2" applyFont="1" applyFill="1"/>
    <xf numFmtId="0" fontId="5" fillId="9" borderId="0" xfId="2" applyFont="1" applyFill="1"/>
    <xf numFmtId="0" fontId="5" fillId="8" borderId="0" xfId="2" applyFont="1" applyFill="1"/>
    <xf numFmtId="0" fontId="5" fillId="7" borderId="0" xfId="2" applyFont="1" applyFill="1"/>
    <xf numFmtId="0" fontId="5" fillId="22" borderId="0" xfId="2" applyFont="1" applyFill="1"/>
    <xf numFmtId="0" fontId="5" fillId="23" borderId="0" xfId="2" applyFont="1" applyFill="1"/>
    <xf numFmtId="0" fontId="5" fillId="24" borderId="0" xfId="2" applyFont="1" applyFill="1"/>
    <xf numFmtId="0" fontId="5" fillId="25" borderId="0" xfId="2" applyFont="1" applyFill="1"/>
    <xf numFmtId="0" fontId="5" fillId="26" borderId="0" xfId="2" applyFont="1" applyFill="1"/>
    <xf numFmtId="0" fontId="5" fillId="27" borderId="0" xfId="2" applyFont="1" applyFill="1"/>
    <xf numFmtId="0" fontId="5" fillId="28" borderId="0" xfId="2" applyFont="1" applyFill="1"/>
    <xf numFmtId="0" fontId="5" fillId="29" borderId="0" xfId="2" applyFont="1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0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</cellXfs>
  <cellStyles count="5">
    <cellStyle name="Accent5" xfId="4" builtinId="45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99"/>
  <sheetViews>
    <sheetView topLeftCell="A16" zoomScaleNormal="100" workbookViewId="0">
      <selection activeCell="V22" sqref="V22:V29"/>
    </sheetView>
  </sheetViews>
  <sheetFormatPr defaultRowHeight="15" x14ac:dyDescent="0.25"/>
  <cols>
    <col min="22" max="22" width="12" bestFit="1" customWidth="1"/>
  </cols>
  <sheetData>
    <row r="1" spans="1:2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0</v>
      </c>
      <c r="H1" t="s">
        <v>1</v>
      </c>
      <c r="I1" t="s">
        <v>2</v>
      </c>
      <c r="J1" t="s">
        <v>9</v>
      </c>
      <c r="K1" t="s">
        <v>10</v>
      </c>
      <c r="L1" t="s">
        <v>11</v>
      </c>
    </row>
    <row r="2" spans="1:20" x14ac:dyDescent="0.25">
      <c r="A2" s="2">
        <v>0.186299999999996</v>
      </c>
      <c r="B2" s="2">
        <v>0</v>
      </c>
      <c r="C2">
        <v>0</v>
      </c>
      <c r="D2">
        <v>0.186299999999996</v>
      </c>
      <c r="E2">
        <v>0</v>
      </c>
      <c r="F2">
        <v>0</v>
      </c>
      <c r="G2">
        <v>1</v>
      </c>
      <c r="H2">
        <v>0.31722480044880103</v>
      </c>
      <c r="I2">
        <v>0.50557557875364501</v>
      </c>
      <c r="J2">
        <v>1</v>
      </c>
      <c r="K2">
        <v>0.31722480044880103</v>
      </c>
      <c r="L2">
        <v>0.50557557875364501</v>
      </c>
    </row>
    <row r="3" spans="1:20" x14ac:dyDescent="0.25">
      <c r="A3">
        <v>0.13173399333505101</v>
      </c>
      <c r="B3">
        <v>0.13173399333505101</v>
      </c>
      <c r="C3">
        <v>0</v>
      </c>
      <c r="D3">
        <v>0.13173399333505101</v>
      </c>
      <c r="E3">
        <v>0.13173399333505101</v>
      </c>
      <c r="F3">
        <v>0.313131022264581</v>
      </c>
      <c r="G3">
        <v>0.86537007453613501</v>
      </c>
      <c r="H3">
        <v>0.354641046585429</v>
      </c>
      <c r="I3">
        <v>0.57445878874940703</v>
      </c>
      <c r="J3">
        <v>0.77497693453809602</v>
      </c>
      <c r="K3">
        <v>0.26424790658739</v>
      </c>
      <c r="L3">
        <v>0.48406564875136698</v>
      </c>
    </row>
    <row r="4" spans="1:20" x14ac:dyDescent="0.25">
      <c r="A4" s="3">
        <v>0</v>
      </c>
      <c r="B4" s="3">
        <v>0.186299999999996</v>
      </c>
      <c r="C4">
        <v>0</v>
      </c>
      <c r="D4">
        <v>0</v>
      </c>
      <c r="E4">
        <v>0.186299999999996</v>
      </c>
      <c r="F4">
        <v>0.44283413848632203</v>
      </c>
      <c r="G4">
        <v>0.51670281959628195</v>
      </c>
      <c r="H4">
        <v>0.47720659621995298</v>
      </c>
      <c r="I4">
        <v>0.59972505013363897</v>
      </c>
      <c r="J4">
        <v>0.388867615065565</v>
      </c>
      <c r="K4">
        <v>0.34937139168923598</v>
      </c>
      <c r="L4">
        <v>0.47188984560292202</v>
      </c>
    </row>
    <row r="5" spans="1:20" x14ac:dyDescent="0.25">
      <c r="A5">
        <v>-0.13173399333505101</v>
      </c>
      <c r="B5">
        <v>0.13173399333505101</v>
      </c>
      <c r="C5">
        <v>0</v>
      </c>
      <c r="D5">
        <v>-0.13173399333505101</v>
      </c>
      <c r="E5">
        <v>0.13173399333505101</v>
      </c>
      <c r="F5">
        <v>0.313131022264581</v>
      </c>
      <c r="G5">
        <v>0.15825127946679801</v>
      </c>
      <c r="H5">
        <v>0.613124212656183</v>
      </c>
      <c r="I5">
        <v>0.56657372965792197</v>
      </c>
      <c r="J5">
        <v>6.7858139468758197E-2</v>
      </c>
      <c r="K5">
        <v>0.522731072658144</v>
      </c>
      <c r="L5">
        <v>0.47618058965988302</v>
      </c>
      <c r="P5" s="49"/>
      <c r="Q5" s="49"/>
    </row>
    <row r="6" spans="1:20" x14ac:dyDescent="0.25">
      <c r="A6" s="4">
        <v>-0.186299999999996</v>
      </c>
      <c r="B6" s="4">
        <v>0</v>
      </c>
      <c r="C6">
        <v>0</v>
      </c>
      <c r="D6">
        <v>-0.186299999999996</v>
      </c>
      <c r="E6">
        <v>0</v>
      </c>
      <c r="F6">
        <v>0</v>
      </c>
      <c r="G6">
        <v>0</v>
      </c>
      <c r="H6">
        <v>0.68277519955119903</v>
      </c>
      <c r="I6">
        <v>0.49442442124635499</v>
      </c>
      <c r="J6">
        <v>0</v>
      </c>
      <c r="K6">
        <v>0.68277519955119903</v>
      </c>
      <c r="L6">
        <v>0.49442442124635499</v>
      </c>
      <c r="P6" s="49"/>
      <c r="Q6" s="49"/>
    </row>
    <row r="7" spans="1:20" x14ac:dyDescent="0.25">
      <c r="A7">
        <v>-0.13173399333505101</v>
      </c>
      <c r="B7">
        <v>-0.13173399333505101</v>
      </c>
      <c r="C7">
        <v>0</v>
      </c>
      <c r="D7">
        <v>-0.13173399333505101</v>
      </c>
      <c r="E7">
        <v>-0.13173399333505101</v>
      </c>
      <c r="F7">
        <v>-0.313131022264581</v>
      </c>
      <c r="G7">
        <v>0.13462992546386501</v>
      </c>
      <c r="H7">
        <v>0.64535895341457095</v>
      </c>
      <c r="I7">
        <v>0.42554121125059302</v>
      </c>
      <c r="J7">
        <v>0.22502306546190401</v>
      </c>
      <c r="K7">
        <v>0.73575209341261105</v>
      </c>
      <c r="L7">
        <v>0.51593435124863196</v>
      </c>
      <c r="P7" s="49"/>
      <c r="Q7" s="49"/>
      <c r="R7">
        <v>0</v>
      </c>
      <c r="S7" s="2">
        <v>0.186299999999996</v>
      </c>
      <c r="T7" s="2">
        <v>0</v>
      </c>
    </row>
    <row r="8" spans="1:20" x14ac:dyDescent="0.25">
      <c r="A8" s="5">
        <v>0</v>
      </c>
      <c r="B8" s="5">
        <v>-0.186299999999996</v>
      </c>
      <c r="C8">
        <v>0</v>
      </c>
      <c r="D8">
        <v>0</v>
      </c>
      <c r="E8">
        <v>-0.186299999999996</v>
      </c>
      <c r="F8">
        <v>-0.44283413848632203</v>
      </c>
      <c r="G8">
        <v>0.483297180403718</v>
      </c>
      <c r="H8">
        <v>0.52279340378004702</v>
      </c>
      <c r="I8">
        <v>0.40027494986636097</v>
      </c>
      <c r="J8">
        <v>0.611132384934435</v>
      </c>
      <c r="K8">
        <v>0.65062860831076397</v>
      </c>
      <c r="L8">
        <v>0.52811015439707798</v>
      </c>
      <c r="P8" s="49"/>
      <c r="Q8" s="49"/>
      <c r="R8">
        <v>0</v>
      </c>
      <c r="S8">
        <v>0.13173399333505101</v>
      </c>
      <c r="T8">
        <v>0.13173399333505101</v>
      </c>
    </row>
    <row r="9" spans="1:20" x14ac:dyDescent="0.25">
      <c r="A9">
        <v>0.13173399333505101</v>
      </c>
      <c r="B9">
        <v>-0.13173399333505101</v>
      </c>
      <c r="C9">
        <v>0</v>
      </c>
      <c r="D9">
        <v>0.13173399333505101</v>
      </c>
      <c r="E9">
        <v>-0.13173399333505101</v>
      </c>
      <c r="F9">
        <v>-0.313131022264581</v>
      </c>
      <c r="G9">
        <v>0.84174872053320204</v>
      </c>
      <c r="H9">
        <v>0.386875787343817</v>
      </c>
      <c r="I9">
        <v>0.43342627034207798</v>
      </c>
      <c r="J9">
        <v>0.93214186053124204</v>
      </c>
      <c r="K9">
        <v>0.477268927341856</v>
      </c>
      <c r="L9">
        <v>0.52381941034011703</v>
      </c>
      <c r="P9" s="49"/>
      <c r="Q9" s="49"/>
      <c r="R9">
        <v>0</v>
      </c>
      <c r="S9" s="3">
        <v>0</v>
      </c>
      <c r="T9" s="3">
        <v>0.186299999999996</v>
      </c>
    </row>
    <row r="10" spans="1:20" x14ac:dyDescent="0.25">
      <c r="P10" s="49"/>
      <c r="Q10" s="49"/>
      <c r="R10">
        <v>0</v>
      </c>
      <c r="S10">
        <v>-0.13173399333505101</v>
      </c>
      <c r="T10">
        <v>0.13173399333505101</v>
      </c>
    </row>
    <row r="11" spans="1:20" x14ac:dyDescent="0.25">
      <c r="A11" t="s">
        <v>13</v>
      </c>
      <c r="B11" t="s">
        <v>14</v>
      </c>
      <c r="C11" t="s">
        <v>15</v>
      </c>
      <c r="P11" s="49"/>
      <c r="Q11" s="49"/>
      <c r="R11">
        <v>0</v>
      </c>
      <c r="S11" s="4">
        <v>-0.186299999999996</v>
      </c>
      <c r="T11" s="4">
        <v>0</v>
      </c>
    </row>
    <row r="12" spans="1:20" x14ac:dyDescent="0.25">
      <c r="A12">
        <v>0.18629999999999999</v>
      </c>
      <c r="B12">
        <v>0</v>
      </c>
      <c r="C12">
        <v>0</v>
      </c>
      <c r="D12">
        <v>0.18629999999999999</v>
      </c>
      <c r="E12">
        <v>0</v>
      </c>
      <c r="F12">
        <v>0</v>
      </c>
      <c r="P12" s="49"/>
      <c r="Q12" s="49"/>
      <c r="R12">
        <v>0</v>
      </c>
      <c r="S12">
        <v>-0.13173399333505101</v>
      </c>
      <c r="T12">
        <v>-0.13173399333505101</v>
      </c>
    </row>
    <row r="13" spans="1:20" x14ac:dyDescent="0.25">
      <c r="A13">
        <v>0.18629999999999999</v>
      </c>
      <c r="B13">
        <v>45</v>
      </c>
      <c r="C13">
        <v>0</v>
      </c>
      <c r="D13">
        <v>0.13173399333505401</v>
      </c>
      <c r="E13">
        <v>-0.13173399333505401</v>
      </c>
      <c r="F13">
        <v>0</v>
      </c>
      <c r="P13" s="49"/>
      <c r="Q13" s="49"/>
      <c r="R13">
        <v>0</v>
      </c>
      <c r="S13" s="5">
        <v>0</v>
      </c>
      <c r="T13" s="5">
        <v>-0.186299999999996</v>
      </c>
    </row>
    <row r="14" spans="1:20" x14ac:dyDescent="0.25">
      <c r="A14">
        <v>0.18629999999999999</v>
      </c>
      <c r="B14">
        <v>90</v>
      </c>
      <c r="C14">
        <v>0</v>
      </c>
      <c r="D14" s="1">
        <v>1.14075849340576E-17</v>
      </c>
      <c r="E14">
        <v>-0.18629999999999999</v>
      </c>
      <c r="F14">
        <v>0</v>
      </c>
      <c r="P14" s="49"/>
      <c r="Q14" s="49"/>
      <c r="R14">
        <v>0</v>
      </c>
      <c r="S14">
        <v>0.13173399333505101</v>
      </c>
      <c r="T14">
        <v>-0.13173399333505101</v>
      </c>
    </row>
    <row r="15" spans="1:20" x14ac:dyDescent="0.25">
      <c r="A15">
        <v>0.18629999999999999</v>
      </c>
      <c r="B15">
        <v>135</v>
      </c>
      <c r="C15">
        <v>0</v>
      </c>
      <c r="D15">
        <v>-0.13173399333505401</v>
      </c>
      <c r="E15">
        <v>-0.13173399333505401</v>
      </c>
      <c r="F15">
        <v>0</v>
      </c>
      <c r="P15" s="49"/>
      <c r="Q15" s="49"/>
    </row>
    <row r="16" spans="1:20" x14ac:dyDescent="0.25">
      <c r="A16">
        <v>0.18629999999999999</v>
      </c>
      <c r="B16">
        <v>180</v>
      </c>
      <c r="C16">
        <v>0</v>
      </c>
      <c r="D16">
        <v>-0.18629999999999999</v>
      </c>
      <c r="E16" s="1">
        <v>-2.28151698681152E-17</v>
      </c>
      <c r="F16">
        <v>0</v>
      </c>
    </row>
    <row r="17" spans="1:22" x14ac:dyDescent="0.25">
      <c r="A17">
        <v>0.18629999999999999</v>
      </c>
      <c r="B17">
        <v>225</v>
      </c>
      <c r="C17">
        <v>0</v>
      </c>
      <c r="D17">
        <v>-0.13173399333505401</v>
      </c>
      <c r="E17">
        <v>0.13173399333505401</v>
      </c>
      <c r="F17">
        <v>0</v>
      </c>
    </row>
    <row r="18" spans="1:22" x14ac:dyDescent="0.25">
      <c r="A18">
        <v>0.18629999999999999</v>
      </c>
      <c r="B18">
        <v>270</v>
      </c>
      <c r="C18">
        <v>0</v>
      </c>
      <c r="D18" s="1">
        <v>-3.4222754802172798E-17</v>
      </c>
      <c r="E18">
        <v>0.18629999999999999</v>
      </c>
      <c r="F18">
        <v>0</v>
      </c>
    </row>
    <row r="19" spans="1:22" x14ac:dyDescent="0.25">
      <c r="A19">
        <v>0.18629999999999999</v>
      </c>
      <c r="B19">
        <v>315</v>
      </c>
      <c r="C19">
        <v>0</v>
      </c>
      <c r="D19">
        <v>0.13173399333505401</v>
      </c>
      <c r="E19">
        <v>0.13173399333505401</v>
      </c>
      <c r="F19">
        <v>0</v>
      </c>
    </row>
    <row r="22" spans="1:22" x14ac:dyDescent="0.25">
      <c r="A22" t="s">
        <v>23</v>
      </c>
      <c r="D22" t="s">
        <v>16</v>
      </c>
      <c r="J22" t="s">
        <v>24</v>
      </c>
      <c r="V22" s="50">
        <v>8540159</v>
      </c>
    </row>
    <row r="23" spans="1:22" x14ac:dyDescent="0.25">
      <c r="A23">
        <v>0</v>
      </c>
      <c r="B23">
        <v>-0.18629999999999999</v>
      </c>
      <c r="C23">
        <v>0</v>
      </c>
      <c r="D23">
        <v>0.18629999999999999</v>
      </c>
      <c r="E23">
        <v>0</v>
      </c>
      <c r="F23">
        <v>0</v>
      </c>
      <c r="G23" s="4">
        <v>-0.18629999999999999</v>
      </c>
      <c r="H23" s="4">
        <v>0</v>
      </c>
      <c r="I23">
        <v>0</v>
      </c>
      <c r="J23">
        <v>7.3800000000000004E-2</v>
      </c>
      <c r="K23">
        <v>4.7E-2</v>
      </c>
      <c r="L23">
        <v>3.7499999999999999E-2</v>
      </c>
      <c r="M23">
        <v>1.0165</v>
      </c>
      <c r="N23">
        <v>0.28320000000000001</v>
      </c>
      <c r="O23">
        <v>0.505</v>
      </c>
      <c r="P23" s="2">
        <v>255</v>
      </c>
      <c r="Q23">
        <f>ROUND(N23*255,0)</f>
        <v>72</v>
      </c>
      <c r="R23">
        <f>ROUND(O23*255,0)</f>
        <v>129</v>
      </c>
      <c r="S23" s="9">
        <f t="shared" ref="S23:S30" si="0">P23+Q23*256+R23*256^2</f>
        <v>8472831</v>
      </c>
      <c r="V23" s="74">
        <v>10570494</v>
      </c>
    </row>
    <row r="24" spans="1:22" x14ac:dyDescent="0.25">
      <c r="A24">
        <v>0</v>
      </c>
      <c r="B24">
        <v>-0.13170000000000001</v>
      </c>
      <c r="C24">
        <v>0.13170000000000001</v>
      </c>
      <c r="D24">
        <v>0.18629999999999999</v>
      </c>
      <c r="E24">
        <v>45</v>
      </c>
      <c r="F24">
        <v>0</v>
      </c>
      <c r="G24">
        <v>-0.13173399333505401</v>
      </c>
      <c r="H24">
        <v>0.13173399333505401</v>
      </c>
      <c r="I24">
        <v>0</v>
      </c>
      <c r="J24">
        <v>7.1499999999999994E-2</v>
      </c>
      <c r="K24">
        <v>4.9299999999999997E-2</v>
      </c>
      <c r="L24">
        <v>3.2500000000000001E-2</v>
      </c>
      <c r="M24">
        <v>0.85309999999999997</v>
      </c>
      <c r="N24">
        <v>0.3674</v>
      </c>
      <c r="O24">
        <v>0.4294</v>
      </c>
      <c r="P24">
        <f>ROUND(M24*255,0)</f>
        <v>218</v>
      </c>
      <c r="Q24">
        <f>ROUND(N24*255,0)</f>
        <v>94</v>
      </c>
      <c r="R24">
        <f>ROUND(O24*255,0)</f>
        <v>109</v>
      </c>
      <c r="S24" s="10">
        <f t="shared" si="0"/>
        <v>7167706</v>
      </c>
      <c r="V24" s="75">
        <v>16673922</v>
      </c>
    </row>
    <row r="25" spans="1:22" x14ac:dyDescent="0.25">
      <c r="A25">
        <v>0</v>
      </c>
      <c r="B25">
        <v>0</v>
      </c>
      <c r="C25">
        <v>0.18629999999999999</v>
      </c>
      <c r="D25">
        <v>0.18629999999999999</v>
      </c>
      <c r="E25">
        <v>90</v>
      </c>
      <c r="F25">
        <v>0</v>
      </c>
      <c r="G25" s="6">
        <v>-1.14075849340576E-17</v>
      </c>
      <c r="H25" s="3">
        <v>0.18629999999999999</v>
      </c>
      <c r="I25">
        <v>0</v>
      </c>
      <c r="J25">
        <v>6.59E-2</v>
      </c>
      <c r="K25">
        <v>5.4899999999999997E-2</v>
      </c>
      <c r="L25">
        <v>3.0499999999999999E-2</v>
      </c>
      <c r="M25">
        <v>0.4829</v>
      </c>
      <c r="N25">
        <v>0.5292</v>
      </c>
      <c r="O25">
        <v>0.39510000000000001</v>
      </c>
      <c r="P25">
        <f>ROUND(M25*255,0)</f>
        <v>123</v>
      </c>
      <c r="Q25">
        <f>ROUND(N25*255,0)</f>
        <v>135</v>
      </c>
      <c r="R25">
        <f>ROUND(O25*255,0)</f>
        <v>101</v>
      </c>
      <c r="S25" s="11">
        <f t="shared" si="0"/>
        <v>6653819</v>
      </c>
      <c r="V25" s="76">
        <v>10332930</v>
      </c>
    </row>
    <row r="26" spans="1:22" x14ac:dyDescent="0.25">
      <c r="A26">
        <v>0</v>
      </c>
      <c r="B26">
        <v>0.13170000000000001</v>
      </c>
      <c r="C26">
        <v>0.13170000000000001</v>
      </c>
      <c r="D26">
        <v>0.18629999999999999</v>
      </c>
      <c r="E26">
        <v>135</v>
      </c>
      <c r="F26">
        <v>0</v>
      </c>
      <c r="G26">
        <v>0.13173399333505401</v>
      </c>
      <c r="H26">
        <v>0.13173399333505401</v>
      </c>
      <c r="I26">
        <v>0</v>
      </c>
      <c r="J26">
        <v>6.0400000000000002E-2</v>
      </c>
      <c r="K26">
        <v>6.0499999999999998E-2</v>
      </c>
      <c r="L26">
        <v>3.2500000000000001E-2</v>
      </c>
      <c r="M26">
        <v>0.1226</v>
      </c>
      <c r="N26">
        <v>0.67400000000000004</v>
      </c>
      <c r="O26">
        <v>0.42230000000000001</v>
      </c>
      <c r="P26">
        <f>ROUND(M26*255,0)</f>
        <v>31</v>
      </c>
      <c r="Q26">
        <f>ROUND(N26*255,0)</f>
        <v>172</v>
      </c>
      <c r="R26">
        <f>ROUND(O26*255,0)</f>
        <v>108</v>
      </c>
      <c r="S26" s="12">
        <f t="shared" si="0"/>
        <v>7121951</v>
      </c>
      <c r="V26" s="62">
        <v>8237056</v>
      </c>
    </row>
    <row r="27" spans="1:22" x14ac:dyDescent="0.25">
      <c r="A27">
        <v>0</v>
      </c>
      <c r="B27">
        <v>0.18629999999999999</v>
      </c>
      <c r="C27">
        <v>0</v>
      </c>
      <c r="D27">
        <v>0.18629999999999999</v>
      </c>
      <c r="E27">
        <v>180</v>
      </c>
      <c r="F27">
        <v>0</v>
      </c>
      <c r="G27" s="2">
        <v>0.18629999999999999</v>
      </c>
      <c r="H27" s="7">
        <v>2.28151698681152E-17</v>
      </c>
      <c r="I27">
        <v>0</v>
      </c>
      <c r="J27">
        <v>5.8099999999999999E-2</v>
      </c>
      <c r="K27">
        <v>6.2799999999999995E-2</v>
      </c>
      <c r="L27">
        <v>3.7499999999999999E-2</v>
      </c>
      <c r="M27">
        <v>-1.6500000000000001E-2</v>
      </c>
      <c r="N27">
        <v>0.71679999999999999</v>
      </c>
      <c r="O27">
        <v>0.495</v>
      </c>
      <c r="P27" s="2">
        <v>0</v>
      </c>
      <c r="Q27">
        <f>ROUND(N27*255,0)</f>
        <v>183</v>
      </c>
      <c r="R27">
        <f>ROUND(O27*255,0)</f>
        <v>126</v>
      </c>
      <c r="S27" s="13">
        <f t="shared" si="0"/>
        <v>8304384</v>
      </c>
      <c r="V27" s="77">
        <v>6206721</v>
      </c>
    </row>
    <row r="28" spans="1:22" x14ac:dyDescent="0.25">
      <c r="A28">
        <v>0</v>
      </c>
      <c r="B28">
        <v>0.13170000000000001</v>
      </c>
      <c r="C28">
        <v>-0.13170000000000001</v>
      </c>
      <c r="D28">
        <v>0.18629999999999999</v>
      </c>
      <c r="E28">
        <v>225</v>
      </c>
      <c r="F28">
        <v>0</v>
      </c>
      <c r="G28">
        <v>0.13173399333505401</v>
      </c>
      <c r="H28">
        <v>-0.13173399333505401</v>
      </c>
      <c r="I28">
        <v>0</v>
      </c>
      <c r="J28">
        <v>6.0400000000000002E-2</v>
      </c>
      <c r="K28">
        <v>6.0499999999999998E-2</v>
      </c>
      <c r="L28">
        <v>4.24E-2</v>
      </c>
      <c r="M28">
        <v>0.1469</v>
      </c>
      <c r="N28">
        <v>0.63260000000000005</v>
      </c>
      <c r="O28">
        <v>0.5706</v>
      </c>
      <c r="P28">
        <f>ROUND(M28*255,0)</f>
        <v>37</v>
      </c>
      <c r="Q28">
        <f>ROUND(N28*255,0)</f>
        <v>161</v>
      </c>
      <c r="R28">
        <f>ROUND(O28*255,0)</f>
        <v>146</v>
      </c>
      <c r="S28" s="14">
        <f t="shared" si="0"/>
        <v>9609509</v>
      </c>
      <c r="V28" s="78">
        <v>103293</v>
      </c>
    </row>
    <row r="29" spans="1:22" x14ac:dyDescent="0.25">
      <c r="A29">
        <v>0</v>
      </c>
      <c r="B29">
        <v>0</v>
      </c>
      <c r="C29">
        <v>-0.18629999999999999</v>
      </c>
      <c r="D29">
        <v>0.18629999999999999</v>
      </c>
      <c r="E29">
        <v>270</v>
      </c>
      <c r="F29">
        <v>0</v>
      </c>
      <c r="G29" s="8">
        <v>3.4222754802172798E-17</v>
      </c>
      <c r="H29" s="5">
        <v>-0.18629999999999999</v>
      </c>
      <c r="I29">
        <v>0</v>
      </c>
      <c r="J29">
        <v>6.59E-2</v>
      </c>
      <c r="K29">
        <v>5.4899999999999997E-2</v>
      </c>
      <c r="L29">
        <v>4.4499999999999998E-2</v>
      </c>
      <c r="M29">
        <v>0.5171</v>
      </c>
      <c r="N29">
        <v>0.4708</v>
      </c>
      <c r="O29">
        <v>0.60489999999999999</v>
      </c>
      <c r="P29">
        <f>ROUND(M29*255,0)</f>
        <v>132</v>
      </c>
      <c r="Q29">
        <f>ROUND(N29*255,0)</f>
        <v>120</v>
      </c>
      <c r="R29">
        <f>ROUND(O29*255,0)</f>
        <v>154</v>
      </c>
      <c r="S29" s="15">
        <f t="shared" si="0"/>
        <v>10123396</v>
      </c>
      <c r="V29" s="79">
        <v>6444285</v>
      </c>
    </row>
    <row r="30" spans="1:22" x14ac:dyDescent="0.25">
      <c r="A30">
        <v>0</v>
      </c>
      <c r="B30">
        <v>-0.13170000000000001</v>
      </c>
      <c r="C30">
        <v>-0.13170000000000001</v>
      </c>
      <c r="D30">
        <v>0.18629999999999999</v>
      </c>
      <c r="E30">
        <v>315</v>
      </c>
      <c r="F30">
        <v>0</v>
      </c>
      <c r="G30">
        <v>-0.13173399333505401</v>
      </c>
      <c r="H30">
        <v>-0.13173399333505401</v>
      </c>
      <c r="I30">
        <v>0</v>
      </c>
      <c r="J30">
        <v>7.1499999999999994E-2</v>
      </c>
      <c r="K30">
        <v>4.9299999999999997E-2</v>
      </c>
      <c r="L30">
        <v>4.24E-2</v>
      </c>
      <c r="M30">
        <v>0.87739999999999996</v>
      </c>
      <c r="N30">
        <v>0.32600000000000001</v>
      </c>
      <c r="O30">
        <v>0.57769999999999999</v>
      </c>
      <c r="P30">
        <f>ROUND(M30*255,0)</f>
        <v>224</v>
      </c>
      <c r="Q30">
        <f>ROUND(N30*255,0)</f>
        <v>83</v>
      </c>
      <c r="R30">
        <f>ROUND(O30*255,0)</f>
        <v>147</v>
      </c>
      <c r="S30" s="16">
        <f t="shared" si="0"/>
        <v>9655264</v>
      </c>
    </row>
    <row r="31" spans="1:22" x14ac:dyDescent="0.25">
      <c r="J31" t="s">
        <v>27</v>
      </c>
    </row>
    <row r="32" spans="1:22" x14ac:dyDescent="0.25">
      <c r="D32" t="s">
        <v>26</v>
      </c>
      <c r="G32" t="s">
        <v>25</v>
      </c>
      <c r="J32" t="s">
        <v>26</v>
      </c>
    </row>
    <row r="33" spans="4:19" x14ac:dyDescent="0.25">
      <c r="D33">
        <v>7.3778787999999998E-2</v>
      </c>
      <c r="E33">
        <v>4.7045636000000002E-2</v>
      </c>
      <c r="F33">
        <v>3.7486813000000001E-2</v>
      </c>
      <c r="G33">
        <v>0</v>
      </c>
      <c r="H33">
        <v>0.18629999999999999</v>
      </c>
      <c r="I33">
        <v>0</v>
      </c>
      <c r="J33">
        <v>7.3800000000000004E-2</v>
      </c>
      <c r="K33">
        <v>4.7E-2</v>
      </c>
      <c r="L33">
        <v>3.7499999999999999E-2</v>
      </c>
      <c r="M33">
        <v>1.0165</v>
      </c>
      <c r="N33">
        <v>0.28320000000000001</v>
      </c>
      <c r="O33">
        <v>0.505</v>
      </c>
      <c r="P33" s="2">
        <v>255</v>
      </c>
      <c r="Q33">
        <f>ROUND(N33*255,0)</f>
        <v>72</v>
      </c>
      <c r="R33">
        <f>ROUND(O33*255,0)</f>
        <v>129</v>
      </c>
      <c r="S33" s="9">
        <f t="shared" ref="S33:S40" si="1">P33+Q33*256+R33*256^2</f>
        <v>8472831</v>
      </c>
    </row>
    <row r="34" spans="4:19" x14ac:dyDescent="0.25">
      <c r="D34">
        <v>7.1476757000000002E-2</v>
      </c>
      <c r="E34">
        <v>4.9347666999999998E-2</v>
      </c>
      <c r="F34">
        <v>3.2548525000000002E-2</v>
      </c>
      <c r="G34">
        <v>0</v>
      </c>
      <c r="H34">
        <v>0.13170000000000001</v>
      </c>
      <c r="I34">
        <v>-0.13170000000000001</v>
      </c>
      <c r="J34">
        <v>7.1499999999999994E-2</v>
      </c>
      <c r="K34">
        <v>4.9299999999999997E-2</v>
      </c>
      <c r="L34">
        <v>3.2500000000000001E-2</v>
      </c>
      <c r="M34">
        <v>0.85309999999999997</v>
      </c>
      <c r="N34">
        <v>0.3674</v>
      </c>
      <c r="O34">
        <v>0.4294</v>
      </c>
      <c r="P34">
        <f>ROUND(M34*255,0)</f>
        <v>218</v>
      </c>
      <c r="Q34">
        <f>ROUND(N34*255,0)</f>
        <v>94</v>
      </c>
      <c r="R34">
        <f>ROUND(O34*255,0)</f>
        <v>109</v>
      </c>
      <c r="S34" s="10">
        <f t="shared" si="1"/>
        <v>7167706</v>
      </c>
    </row>
    <row r="35" spans="4:19" x14ac:dyDescent="0.25">
      <c r="D35">
        <v>6.5919163000000003E-2</v>
      </c>
      <c r="E35">
        <v>5.4905260999999997E-2</v>
      </c>
      <c r="F35">
        <v>3.0503018999999999E-2</v>
      </c>
      <c r="G35">
        <v>0</v>
      </c>
      <c r="H35">
        <v>0</v>
      </c>
      <c r="I35">
        <v>-0.18629999999999999</v>
      </c>
      <c r="J35">
        <v>6.59E-2</v>
      </c>
      <c r="K35">
        <v>5.4899999999999997E-2</v>
      </c>
      <c r="L35">
        <v>3.0499999999999999E-2</v>
      </c>
      <c r="M35">
        <v>0.4829</v>
      </c>
      <c r="N35">
        <v>0.5292</v>
      </c>
      <c r="O35">
        <v>0.39510000000000001</v>
      </c>
      <c r="P35">
        <f>ROUND(M35*255,0)</f>
        <v>123</v>
      </c>
      <c r="Q35">
        <f>ROUND(N35*255,0)</f>
        <v>135</v>
      </c>
      <c r="R35">
        <f>ROUND(O35*255,0)</f>
        <v>101</v>
      </c>
      <c r="S35" s="11">
        <f t="shared" si="1"/>
        <v>6653819</v>
      </c>
    </row>
    <row r="36" spans="4:19" x14ac:dyDescent="0.25">
      <c r="D36">
        <v>6.0361567999999997E-2</v>
      </c>
      <c r="E36">
        <v>6.0462855000000003E-2</v>
      </c>
      <c r="F36">
        <v>3.2548525000000002E-2</v>
      </c>
      <c r="G36">
        <v>0</v>
      </c>
      <c r="H36">
        <v>-0.13170000000000001</v>
      </c>
      <c r="I36">
        <v>-0.13170000000000001</v>
      </c>
      <c r="J36">
        <v>6.0400000000000002E-2</v>
      </c>
      <c r="K36">
        <v>6.0499999999999998E-2</v>
      </c>
      <c r="L36">
        <v>3.2500000000000001E-2</v>
      </c>
      <c r="M36">
        <v>0.1226</v>
      </c>
      <c r="N36">
        <v>0.67400000000000004</v>
      </c>
      <c r="O36">
        <v>0.42230000000000001</v>
      </c>
      <c r="P36">
        <f>ROUND(M36*255,0)</f>
        <v>31</v>
      </c>
      <c r="Q36">
        <f>ROUND(N36*255,0)</f>
        <v>172</v>
      </c>
      <c r="R36">
        <f>ROUND(O36*255,0)</f>
        <v>108</v>
      </c>
      <c r="S36" s="12">
        <f t="shared" si="1"/>
        <v>7121951</v>
      </c>
    </row>
    <row r="37" spans="4:19" x14ac:dyDescent="0.25">
      <c r="D37">
        <v>5.8059537000000001E-2</v>
      </c>
      <c r="E37">
        <v>6.2764886000000006E-2</v>
      </c>
      <c r="F37">
        <v>3.7486813000000001E-2</v>
      </c>
      <c r="G37">
        <v>0</v>
      </c>
      <c r="H37">
        <v>-0.18629999999999999</v>
      </c>
      <c r="I37">
        <v>0</v>
      </c>
      <c r="J37">
        <v>5.8099999999999999E-2</v>
      </c>
      <c r="K37">
        <v>6.2799999999999995E-2</v>
      </c>
      <c r="L37">
        <v>3.7499999999999999E-2</v>
      </c>
      <c r="M37">
        <v>-1.6500000000000001E-2</v>
      </c>
      <c r="N37">
        <v>0.71679999999999999</v>
      </c>
      <c r="O37">
        <v>0.495</v>
      </c>
      <c r="P37" s="2">
        <v>0</v>
      </c>
      <c r="Q37">
        <f>ROUND(N37*255,0)</f>
        <v>183</v>
      </c>
      <c r="R37">
        <f>ROUND(O37*255,0)</f>
        <v>126</v>
      </c>
      <c r="S37" s="13">
        <f t="shared" si="1"/>
        <v>8304384</v>
      </c>
    </row>
    <row r="38" spans="4:19" x14ac:dyDescent="0.25">
      <c r="D38">
        <v>6.0361567999999997E-2</v>
      </c>
      <c r="E38">
        <v>6.0462855000000003E-2</v>
      </c>
      <c r="F38">
        <v>4.24251E-2</v>
      </c>
      <c r="G38">
        <v>0</v>
      </c>
      <c r="H38">
        <v>-0.13170000000000001</v>
      </c>
      <c r="I38">
        <v>0.13170000000000001</v>
      </c>
      <c r="J38">
        <v>6.0400000000000002E-2</v>
      </c>
      <c r="K38">
        <v>6.0499999999999998E-2</v>
      </c>
      <c r="L38">
        <v>4.24E-2</v>
      </c>
      <c r="M38">
        <v>0.1469</v>
      </c>
      <c r="N38">
        <v>0.63260000000000005</v>
      </c>
      <c r="O38">
        <v>0.5706</v>
      </c>
      <c r="P38">
        <f>ROUND(M38*255,0)</f>
        <v>37</v>
      </c>
      <c r="Q38">
        <f>ROUND(N38*255,0)</f>
        <v>161</v>
      </c>
      <c r="R38">
        <f>ROUND(O38*255,0)</f>
        <v>146</v>
      </c>
      <c r="S38" s="14">
        <f t="shared" si="1"/>
        <v>9609509</v>
      </c>
    </row>
    <row r="39" spans="4:19" x14ac:dyDescent="0.25">
      <c r="D39">
        <v>6.5919163000000003E-2</v>
      </c>
      <c r="E39">
        <v>5.4905260999999997E-2</v>
      </c>
      <c r="F39">
        <v>4.4470606000000003E-2</v>
      </c>
      <c r="G39">
        <v>0</v>
      </c>
      <c r="H39">
        <v>0</v>
      </c>
      <c r="I39">
        <v>0.18629999999999999</v>
      </c>
      <c r="J39">
        <v>6.59E-2</v>
      </c>
      <c r="K39">
        <v>5.4899999999999997E-2</v>
      </c>
      <c r="L39">
        <v>4.4499999999999998E-2</v>
      </c>
      <c r="M39">
        <v>0.5171</v>
      </c>
      <c r="N39">
        <v>0.4708</v>
      </c>
      <c r="O39">
        <v>0.60489999999999999</v>
      </c>
      <c r="P39">
        <f>ROUND(M39*255,0)</f>
        <v>132</v>
      </c>
      <c r="Q39">
        <f>ROUND(N39*255,0)</f>
        <v>120</v>
      </c>
      <c r="R39">
        <f>ROUND(O39*255,0)</f>
        <v>154</v>
      </c>
      <c r="S39" s="15">
        <f t="shared" si="1"/>
        <v>10123396</v>
      </c>
    </row>
    <row r="40" spans="4:19" x14ac:dyDescent="0.25">
      <c r="D40">
        <v>7.1476757000000002E-2</v>
      </c>
      <c r="E40">
        <v>4.9347666999999998E-2</v>
      </c>
      <c r="F40">
        <v>4.24251E-2</v>
      </c>
      <c r="G40">
        <v>0</v>
      </c>
      <c r="H40">
        <v>0.13170000000000001</v>
      </c>
      <c r="I40">
        <v>0.13170000000000001</v>
      </c>
      <c r="J40">
        <v>7.1499999999999994E-2</v>
      </c>
      <c r="K40">
        <v>4.9299999999999997E-2</v>
      </c>
      <c r="L40">
        <v>4.24E-2</v>
      </c>
      <c r="M40">
        <v>0.87739999999999996</v>
      </c>
      <c r="N40">
        <v>0.32600000000000001</v>
      </c>
      <c r="O40">
        <v>0.57769999999999999</v>
      </c>
      <c r="P40">
        <f>ROUND(M40*255,0)</f>
        <v>224</v>
      </c>
      <c r="Q40">
        <f>ROUND(N40*255,0)</f>
        <v>83</v>
      </c>
      <c r="R40">
        <f>ROUND(O40*255,0)</f>
        <v>147</v>
      </c>
      <c r="S40" s="16">
        <f t="shared" si="1"/>
        <v>9655264</v>
      </c>
    </row>
    <row r="41" spans="4:19" x14ac:dyDescent="0.25">
      <c r="J41" t="s">
        <v>28</v>
      </c>
    </row>
    <row r="42" spans="4:19" x14ac:dyDescent="0.25">
      <c r="D42" t="s">
        <v>26</v>
      </c>
      <c r="G42" t="s">
        <v>25</v>
      </c>
      <c r="J42" t="s">
        <v>26</v>
      </c>
    </row>
    <row r="43" spans="4:19" x14ac:dyDescent="0.25">
      <c r="D43">
        <v>7.3778787999999998E-2</v>
      </c>
      <c r="E43">
        <v>4.7045636000000002E-2</v>
      </c>
      <c r="F43">
        <v>3.7486813000000001E-2</v>
      </c>
      <c r="G43">
        <v>0</v>
      </c>
      <c r="H43">
        <v>-0.18629999999999999</v>
      </c>
      <c r="I43">
        <v>0</v>
      </c>
      <c r="J43">
        <v>7.3800000000000004E-2</v>
      </c>
      <c r="K43">
        <v>4.7E-2</v>
      </c>
      <c r="L43">
        <v>3.7499999999999999E-2</v>
      </c>
      <c r="M43">
        <v>1</v>
      </c>
      <c r="N43">
        <v>0.28320261462037499</v>
      </c>
      <c r="O43">
        <v>0.504992622915728</v>
      </c>
      <c r="P43">
        <f>ROUND(M43*255,0)</f>
        <v>255</v>
      </c>
      <c r="Q43">
        <f>ROUND(N43*255,0)</f>
        <v>72</v>
      </c>
      <c r="R43">
        <f>ROUND(O43*255,0)</f>
        <v>129</v>
      </c>
      <c r="S43" s="9">
        <f t="shared" ref="S43" si="2">P43+Q43*256+R43*256^2</f>
        <v>8472831</v>
      </c>
    </row>
    <row r="44" spans="4:19" x14ac:dyDescent="0.25">
      <c r="D44">
        <v>7.1476757000000002E-2</v>
      </c>
      <c r="E44">
        <v>4.9347666999999998E-2</v>
      </c>
      <c r="F44">
        <v>3.2548525000000002E-2</v>
      </c>
      <c r="G44">
        <v>0</v>
      </c>
      <c r="H44">
        <v>-0.13170000000000001</v>
      </c>
      <c r="I44">
        <v>0.13170000000000001</v>
      </c>
      <c r="J44">
        <v>7.1499999999999994E-2</v>
      </c>
      <c r="K44">
        <v>4.9299999999999997E-2</v>
      </c>
      <c r="L44">
        <v>3.2500000000000001E-2</v>
      </c>
      <c r="M44">
        <v>0.85311067098160398</v>
      </c>
      <c r="N44">
        <v>0.36737747088186901</v>
      </c>
      <c r="O44">
        <v>0.42938640243682102</v>
      </c>
      <c r="P44">
        <f t="shared" ref="P44:P50" si="3">ROUND(M44*255,0)</f>
        <v>218</v>
      </c>
      <c r="Q44">
        <f t="shared" ref="Q44:Q50" si="4">ROUND(N44*255,0)</f>
        <v>94</v>
      </c>
      <c r="R44">
        <f t="shared" ref="R44:R50" si="5">ROUND(O44*255,0)</f>
        <v>109</v>
      </c>
      <c r="S44" s="10">
        <f t="shared" ref="S44:S50" si="6">P44+Q44*256+R44*256^2</f>
        <v>7167706</v>
      </c>
    </row>
    <row r="45" spans="4:19" x14ac:dyDescent="0.25">
      <c r="D45">
        <v>6.5919163000000003E-2</v>
      </c>
      <c r="E45">
        <v>5.4905260999999997E-2</v>
      </c>
      <c r="F45">
        <v>3.0503018999999999E-2</v>
      </c>
      <c r="G45">
        <v>0</v>
      </c>
      <c r="H45">
        <v>0</v>
      </c>
      <c r="I45">
        <v>0.18629999999999999</v>
      </c>
      <c r="J45">
        <v>6.59E-2</v>
      </c>
      <c r="K45">
        <v>5.4899999999999997E-2</v>
      </c>
      <c r="L45">
        <v>3.0499999999999999E-2</v>
      </c>
      <c r="M45">
        <v>0.48285228285548099</v>
      </c>
      <c r="N45">
        <v>0.52924079915612798</v>
      </c>
      <c r="O45">
        <v>0.39514467095151601</v>
      </c>
      <c r="P45">
        <f t="shared" si="3"/>
        <v>123</v>
      </c>
      <c r="Q45">
        <f t="shared" si="4"/>
        <v>135</v>
      </c>
      <c r="R45">
        <f t="shared" si="5"/>
        <v>101</v>
      </c>
      <c r="S45" s="11">
        <f t="shared" si="6"/>
        <v>6653819</v>
      </c>
    </row>
    <row r="46" spans="4:19" x14ac:dyDescent="0.25">
      <c r="D46">
        <v>6.0361567999999997E-2</v>
      </c>
      <c r="E46">
        <v>6.0462855000000003E-2</v>
      </c>
      <c r="F46">
        <v>3.2548525000000002E-2</v>
      </c>
      <c r="G46">
        <v>0</v>
      </c>
      <c r="H46">
        <v>0.13170000000000001</v>
      </c>
      <c r="I46">
        <v>0.13170000000000001</v>
      </c>
      <c r="J46">
        <v>6.0400000000000002E-2</v>
      </c>
      <c r="K46">
        <v>6.0499999999999998E-2</v>
      </c>
      <c r="L46">
        <v>3.2500000000000001E-2</v>
      </c>
      <c r="M46">
        <v>0.122638768294935</v>
      </c>
      <c r="N46">
        <v>0.67397526798817098</v>
      </c>
      <c r="O46">
        <v>0.42232577538611499</v>
      </c>
      <c r="P46">
        <f t="shared" si="3"/>
        <v>31</v>
      </c>
      <c r="Q46">
        <f t="shared" si="4"/>
        <v>172</v>
      </c>
      <c r="R46">
        <f t="shared" si="5"/>
        <v>108</v>
      </c>
      <c r="S46" s="12">
        <f t="shared" si="6"/>
        <v>7121951</v>
      </c>
    </row>
    <row r="47" spans="4:19" x14ac:dyDescent="0.25">
      <c r="D47">
        <v>5.8059537000000001E-2</v>
      </c>
      <c r="E47">
        <v>6.2764886000000006E-2</v>
      </c>
      <c r="F47">
        <v>3.7486813000000001E-2</v>
      </c>
      <c r="G47">
        <v>0</v>
      </c>
      <c r="H47">
        <v>0.18629999999999999</v>
      </c>
      <c r="I47">
        <v>0</v>
      </c>
      <c r="J47">
        <v>5.8099999999999999E-2</v>
      </c>
      <c r="K47">
        <v>6.2799999999999995E-2</v>
      </c>
      <c r="L47">
        <v>3.7499999999999999E-2</v>
      </c>
      <c r="M47">
        <v>0</v>
      </c>
      <c r="N47">
        <v>0.71679738508099</v>
      </c>
      <c r="O47">
        <v>0.49500738804322902</v>
      </c>
      <c r="P47">
        <f t="shared" si="3"/>
        <v>0</v>
      </c>
      <c r="Q47">
        <f t="shared" si="4"/>
        <v>183</v>
      </c>
      <c r="R47">
        <f t="shared" si="5"/>
        <v>126</v>
      </c>
      <c r="S47" s="13">
        <f t="shared" si="6"/>
        <v>8304384</v>
      </c>
    </row>
    <row r="48" spans="4:19" x14ac:dyDescent="0.25">
      <c r="D48">
        <v>6.0361567999999997E-2</v>
      </c>
      <c r="E48">
        <v>6.0462855000000003E-2</v>
      </c>
      <c r="F48">
        <v>4.24251E-2</v>
      </c>
      <c r="G48">
        <v>0</v>
      </c>
      <c r="H48">
        <v>0.13170000000000001</v>
      </c>
      <c r="I48">
        <v>-0.13170000000000001</v>
      </c>
      <c r="J48">
        <v>6.0400000000000002E-2</v>
      </c>
      <c r="K48">
        <v>6.0499999999999998E-2</v>
      </c>
      <c r="L48">
        <v>4.24E-2</v>
      </c>
      <c r="M48">
        <v>0.14688931447671999</v>
      </c>
      <c r="N48">
        <v>0.632622533006446</v>
      </c>
      <c r="O48">
        <v>0.57061359350804297</v>
      </c>
      <c r="P48">
        <f t="shared" si="3"/>
        <v>37</v>
      </c>
      <c r="Q48">
        <f t="shared" si="4"/>
        <v>161</v>
      </c>
      <c r="R48">
        <f t="shared" si="5"/>
        <v>146</v>
      </c>
      <c r="S48" s="14">
        <f t="shared" si="6"/>
        <v>9609509</v>
      </c>
    </row>
    <row r="49" spans="4:24" x14ac:dyDescent="0.25">
      <c r="D49">
        <v>6.5919163000000003E-2</v>
      </c>
      <c r="E49">
        <v>5.4905260999999997E-2</v>
      </c>
      <c r="F49">
        <v>4.4470606000000003E-2</v>
      </c>
      <c r="G49">
        <v>0</v>
      </c>
      <c r="H49">
        <v>0</v>
      </c>
      <c r="I49">
        <v>-0.18629999999999999</v>
      </c>
      <c r="J49">
        <v>6.59E-2</v>
      </c>
      <c r="K49">
        <v>5.4899999999999997E-2</v>
      </c>
      <c r="L49">
        <v>4.4499999999999998E-2</v>
      </c>
      <c r="M49">
        <v>0.517147735843141</v>
      </c>
      <c r="N49">
        <v>0.47075919763483298</v>
      </c>
      <c r="O49">
        <v>0.604855324761992</v>
      </c>
      <c r="P49">
        <f t="shared" si="3"/>
        <v>132</v>
      </c>
      <c r="Q49">
        <f t="shared" si="4"/>
        <v>120</v>
      </c>
      <c r="R49">
        <f t="shared" si="5"/>
        <v>154</v>
      </c>
      <c r="S49" s="15">
        <f t="shared" si="6"/>
        <v>10123396</v>
      </c>
    </row>
    <row r="50" spans="4:24" x14ac:dyDescent="0.25">
      <c r="D50">
        <v>7.1476757000000002E-2</v>
      </c>
      <c r="E50">
        <v>4.9347666999999998E-2</v>
      </c>
      <c r="F50">
        <v>4.24251E-2</v>
      </c>
      <c r="G50">
        <v>0</v>
      </c>
      <c r="H50">
        <v>-0.13170000000000001</v>
      </c>
      <c r="I50">
        <v>-0.13170000000000001</v>
      </c>
      <c r="J50">
        <v>7.1499999999999994E-2</v>
      </c>
      <c r="K50">
        <v>4.9299999999999997E-2</v>
      </c>
      <c r="L50">
        <v>4.24E-2</v>
      </c>
      <c r="M50">
        <v>0.877361217163389</v>
      </c>
      <c r="N50">
        <v>0.32602473590014402</v>
      </c>
      <c r="O50">
        <v>0.57767422055874895</v>
      </c>
      <c r="P50">
        <f t="shared" si="3"/>
        <v>224</v>
      </c>
      <c r="Q50">
        <f t="shared" si="4"/>
        <v>83</v>
      </c>
      <c r="R50">
        <f t="shared" si="5"/>
        <v>147</v>
      </c>
      <c r="S50" s="16">
        <f t="shared" si="6"/>
        <v>9655264</v>
      </c>
    </row>
    <row r="51" spans="4:24" x14ac:dyDescent="0.25">
      <c r="J51" t="s">
        <v>28</v>
      </c>
    </row>
    <row r="52" spans="4:24" x14ac:dyDescent="0.25">
      <c r="J52" t="s">
        <v>29</v>
      </c>
    </row>
    <row r="53" spans="4:24" x14ac:dyDescent="0.25">
      <c r="J53">
        <v>5.8099999999999999E-2</v>
      </c>
      <c r="K53">
        <v>6.2799999999999995E-2</v>
      </c>
      <c r="L53">
        <v>3.7499999999999999E-2</v>
      </c>
      <c r="M53">
        <v>0</v>
      </c>
      <c r="N53">
        <v>0.71679999999999999</v>
      </c>
      <c r="O53">
        <v>0.495</v>
      </c>
      <c r="P53">
        <f>ROUND(M53*255,0)</f>
        <v>0</v>
      </c>
      <c r="Q53">
        <f>ROUND(N53*255,0)</f>
        <v>183</v>
      </c>
      <c r="R53">
        <f>ROUND(O53*255,0)</f>
        <v>126</v>
      </c>
      <c r="S53" s="13">
        <f t="shared" ref="S53" si="7">P53+Q53*256+R53*256^2</f>
        <v>8304384</v>
      </c>
    </row>
    <row r="54" spans="4:24" x14ac:dyDescent="0.25">
      <c r="J54">
        <v>6.0400000000000002E-2</v>
      </c>
      <c r="K54">
        <v>6.0499999999999998E-2</v>
      </c>
      <c r="L54">
        <v>4.24E-2</v>
      </c>
      <c r="M54">
        <v>0.1469</v>
      </c>
      <c r="N54">
        <v>0.63260000000000005</v>
      </c>
      <c r="O54">
        <v>0.5706</v>
      </c>
      <c r="P54">
        <f t="shared" ref="P54:P60" si="8">ROUND(M54*255,0)</f>
        <v>37</v>
      </c>
      <c r="Q54">
        <f t="shared" ref="Q54:Q60" si="9">ROUND(N54*255,0)</f>
        <v>161</v>
      </c>
      <c r="R54">
        <f t="shared" ref="R54:R60" si="10">ROUND(O54*255,0)</f>
        <v>146</v>
      </c>
      <c r="S54" s="14">
        <f t="shared" ref="S54:S61" si="11">P54+Q54*256+R54*256^2</f>
        <v>9609509</v>
      </c>
    </row>
    <row r="55" spans="4:24" x14ac:dyDescent="0.25">
      <c r="J55">
        <v>6.59E-2</v>
      </c>
      <c r="K55">
        <v>5.4899999999999997E-2</v>
      </c>
      <c r="L55">
        <v>4.4499999999999998E-2</v>
      </c>
      <c r="M55">
        <v>0.5171</v>
      </c>
      <c r="N55">
        <v>0.4708</v>
      </c>
      <c r="O55">
        <v>0.60489999999999999</v>
      </c>
      <c r="P55">
        <f t="shared" si="8"/>
        <v>132</v>
      </c>
      <c r="Q55">
        <f t="shared" si="9"/>
        <v>120</v>
      </c>
      <c r="R55">
        <f t="shared" si="10"/>
        <v>154</v>
      </c>
      <c r="S55" s="15">
        <f t="shared" si="11"/>
        <v>10123396</v>
      </c>
    </row>
    <row r="56" spans="4:24" x14ac:dyDescent="0.25">
      <c r="J56">
        <v>7.1499999999999994E-2</v>
      </c>
      <c r="K56">
        <v>4.9299999999999997E-2</v>
      </c>
      <c r="L56">
        <v>4.24E-2</v>
      </c>
      <c r="M56">
        <v>0.87739999999999996</v>
      </c>
      <c r="N56">
        <v>0.32600000000000001</v>
      </c>
      <c r="O56">
        <v>0.57769999999999999</v>
      </c>
      <c r="P56">
        <f t="shared" si="8"/>
        <v>224</v>
      </c>
      <c r="Q56">
        <f t="shared" si="9"/>
        <v>83</v>
      </c>
      <c r="R56">
        <f t="shared" si="10"/>
        <v>147</v>
      </c>
      <c r="S56" s="16">
        <f t="shared" si="11"/>
        <v>9655264</v>
      </c>
    </row>
    <row r="57" spans="4:24" x14ac:dyDescent="0.25">
      <c r="J57">
        <v>7.3800000000000004E-2</v>
      </c>
      <c r="K57">
        <v>4.7E-2</v>
      </c>
      <c r="L57">
        <v>3.7499999999999999E-2</v>
      </c>
      <c r="M57">
        <v>1</v>
      </c>
      <c r="N57">
        <v>0.28320000000000001</v>
      </c>
      <c r="O57">
        <v>0.505</v>
      </c>
      <c r="P57">
        <f t="shared" si="8"/>
        <v>255</v>
      </c>
      <c r="Q57">
        <f t="shared" si="9"/>
        <v>72</v>
      </c>
      <c r="R57">
        <f t="shared" si="10"/>
        <v>129</v>
      </c>
      <c r="S57" s="9">
        <f t="shared" si="11"/>
        <v>8472831</v>
      </c>
    </row>
    <row r="58" spans="4:24" x14ac:dyDescent="0.25">
      <c r="J58">
        <v>7.1499999999999994E-2</v>
      </c>
      <c r="K58">
        <v>4.9299999999999997E-2</v>
      </c>
      <c r="L58">
        <v>3.2500000000000001E-2</v>
      </c>
      <c r="M58">
        <v>0.85309999999999997</v>
      </c>
      <c r="N58">
        <v>0.3674</v>
      </c>
      <c r="O58">
        <v>0.4294</v>
      </c>
      <c r="P58">
        <f t="shared" si="8"/>
        <v>218</v>
      </c>
      <c r="Q58">
        <f t="shared" si="9"/>
        <v>94</v>
      </c>
      <c r="R58">
        <f t="shared" si="10"/>
        <v>109</v>
      </c>
      <c r="S58" s="10">
        <f t="shared" si="11"/>
        <v>7167706</v>
      </c>
    </row>
    <row r="59" spans="4:24" x14ac:dyDescent="0.25">
      <c r="J59">
        <v>6.59E-2</v>
      </c>
      <c r="K59">
        <v>5.4899999999999997E-2</v>
      </c>
      <c r="L59">
        <v>3.0499999999999999E-2</v>
      </c>
      <c r="M59">
        <v>0.4829</v>
      </c>
      <c r="N59">
        <v>0.5292</v>
      </c>
      <c r="O59">
        <v>0.39510000000000001</v>
      </c>
      <c r="P59">
        <f t="shared" si="8"/>
        <v>123</v>
      </c>
      <c r="Q59">
        <f t="shared" si="9"/>
        <v>135</v>
      </c>
      <c r="R59">
        <f t="shared" si="10"/>
        <v>101</v>
      </c>
      <c r="S59" s="11">
        <f t="shared" si="11"/>
        <v>6653819</v>
      </c>
    </row>
    <row r="60" spans="4:24" x14ac:dyDescent="0.25">
      <c r="J60">
        <v>6.0400000000000002E-2</v>
      </c>
      <c r="K60">
        <v>6.0499999999999998E-2</v>
      </c>
      <c r="L60">
        <v>3.2500000000000001E-2</v>
      </c>
      <c r="M60">
        <v>0.1226</v>
      </c>
      <c r="N60">
        <v>0.67400000000000004</v>
      </c>
      <c r="O60">
        <v>0.42230000000000001</v>
      </c>
      <c r="P60">
        <f t="shared" si="8"/>
        <v>31</v>
      </c>
      <c r="Q60">
        <f t="shared" si="9"/>
        <v>172</v>
      </c>
      <c r="R60">
        <f t="shared" si="10"/>
        <v>108</v>
      </c>
      <c r="S60" s="12">
        <f t="shared" si="11"/>
        <v>7121951</v>
      </c>
    </row>
    <row r="61" spans="4:24" x14ac:dyDescent="0.25">
      <c r="G61">
        <v>-0.18629999999999999</v>
      </c>
      <c r="H61">
        <v>0</v>
      </c>
      <c r="I61">
        <v>0</v>
      </c>
      <c r="J61">
        <v>7.3137073307475403E-2</v>
      </c>
      <c r="K61">
        <v>4.7687350418067501E-2</v>
      </c>
      <c r="L61">
        <v>3.7486812638885002E-2</v>
      </c>
      <c r="M61">
        <v>0.97430000000000005</v>
      </c>
      <c r="N61">
        <v>0.3009</v>
      </c>
      <c r="O61">
        <v>0.50460000000000005</v>
      </c>
      <c r="P61">
        <f>ROUND(M61*255,0)</f>
        <v>248</v>
      </c>
      <c r="Q61">
        <f>ROUND(N61*255,0)</f>
        <v>77</v>
      </c>
      <c r="R61">
        <f>ROUND(O61*255,0)</f>
        <v>129</v>
      </c>
      <c r="S61" s="17">
        <f t="shared" si="11"/>
        <v>8474104</v>
      </c>
      <c r="V61">
        <f>DEVSQ(D43,J61)</f>
        <v>2.0589887330096761E-7</v>
      </c>
      <c r="W61">
        <f t="shared" ref="W61:X61" si="12">DEVSQ(E43,K61)</f>
        <v>2.0589869717785434E-7</v>
      </c>
      <c r="X61">
        <f t="shared" si="12"/>
        <v>6.5202021256653303E-20</v>
      </c>
    </row>
    <row r="62" spans="4:24" x14ac:dyDescent="0.25">
      <c r="G62">
        <v>-0.13170000000000001</v>
      </c>
      <c r="H62">
        <v>0.13170000000000001</v>
      </c>
      <c r="I62">
        <v>0</v>
      </c>
      <c r="J62">
        <v>7.1021679221351802E-2</v>
      </c>
      <c r="K62">
        <v>4.9802744504191102E-2</v>
      </c>
      <c r="L62">
        <v>3.7141012008278199E-2</v>
      </c>
      <c r="M62">
        <v>0.83450000000000002</v>
      </c>
      <c r="N62">
        <v>0.36070000000000002</v>
      </c>
      <c r="O62">
        <v>0.498</v>
      </c>
      <c r="P62">
        <f t="shared" ref="P62:P68" si="13">ROUND(M62*255,0)</f>
        <v>213</v>
      </c>
      <c r="Q62">
        <f t="shared" ref="Q62:Q68" si="14">ROUND(N62*255,0)</f>
        <v>92</v>
      </c>
      <c r="R62">
        <f t="shared" ref="R62:R68" si="15">ROUND(O62*255,0)</f>
        <v>127</v>
      </c>
      <c r="S62" s="18">
        <f t="shared" ref="S62:S68" si="16">P62+Q62*256+R62*256^2</f>
        <v>8346837</v>
      </c>
      <c r="V62">
        <f t="shared" ref="V62:V68" si="17">DEVSQ(D44,J62)</f>
        <v>1.035478923096899E-7</v>
      </c>
      <c r="W62">
        <f t="shared" ref="W62:W68" si="18">DEVSQ(E44,K62)</f>
        <v>1.0354776741040201E-7</v>
      </c>
      <c r="X62">
        <f t="shared" ref="X62:X68" si="19">DEVSQ(F44,L62)</f>
        <v>1.054546846060201E-5</v>
      </c>
    </row>
    <row r="63" spans="4:24" x14ac:dyDescent="0.25">
      <c r="G63">
        <v>0</v>
      </c>
      <c r="H63">
        <v>0.18629999999999999</v>
      </c>
      <c r="I63">
        <v>0</v>
      </c>
      <c r="J63">
        <v>6.5919162716910798E-2</v>
      </c>
      <c r="K63">
        <v>5.4905261008632099E-2</v>
      </c>
      <c r="L63">
        <v>3.6997650471215698E-2</v>
      </c>
      <c r="M63">
        <v>0.49880000000000002</v>
      </c>
      <c r="N63">
        <v>0.502</v>
      </c>
      <c r="O63">
        <v>0.49270000000000003</v>
      </c>
      <c r="P63">
        <f t="shared" si="13"/>
        <v>127</v>
      </c>
      <c r="Q63">
        <f t="shared" si="14"/>
        <v>128</v>
      </c>
      <c r="R63">
        <f t="shared" si="15"/>
        <v>126</v>
      </c>
      <c r="S63" s="19">
        <f t="shared" si="16"/>
        <v>8290431</v>
      </c>
      <c r="V63">
        <f t="shared" si="17"/>
        <v>4.0069748952869788E-20</v>
      </c>
      <c r="W63">
        <f t="shared" si="18"/>
        <v>3.7256592276358661E-23</v>
      </c>
      <c r="X63">
        <f t="shared" si="19"/>
        <v>2.1090118973452698E-5</v>
      </c>
    </row>
    <row r="64" spans="4:24" x14ac:dyDescent="0.25">
      <c r="G64">
        <v>0.13170000000000001</v>
      </c>
      <c r="H64">
        <v>0.13170000000000001</v>
      </c>
      <c r="I64">
        <v>0</v>
      </c>
      <c r="J64">
        <v>6.0816646212469801E-2</v>
      </c>
      <c r="K64">
        <v>6.0007777513073103E-2</v>
      </c>
      <c r="L64">
        <v>3.7141012008278199E-2</v>
      </c>
      <c r="M64">
        <v>0.1638</v>
      </c>
      <c r="N64">
        <v>0.64219999999999999</v>
      </c>
      <c r="O64">
        <v>0.49159999999999998</v>
      </c>
      <c r="P64">
        <f t="shared" si="13"/>
        <v>42</v>
      </c>
      <c r="Q64">
        <f t="shared" si="14"/>
        <v>164</v>
      </c>
      <c r="R64">
        <f t="shared" si="15"/>
        <v>125</v>
      </c>
      <c r="S64" s="20">
        <f t="shared" si="16"/>
        <v>8234026</v>
      </c>
      <c r="V64">
        <f t="shared" si="17"/>
        <v>1.0354808973235571E-7</v>
      </c>
      <c r="W64">
        <f t="shared" si="18"/>
        <v>1.0354775955385131E-7</v>
      </c>
      <c r="X64">
        <f t="shared" si="19"/>
        <v>1.054546846060201E-5</v>
      </c>
    </row>
    <row r="65" spans="1:24" x14ac:dyDescent="0.25">
      <c r="G65">
        <v>0.18629999999999999</v>
      </c>
      <c r="H65">
        <v>0</v>
      </c>
      <c r="I65">
        <v>0</v>
      </c>
      <c r="J65">
        <v>5.87012521263462E-2</v>
      </c>
      <c r="K65">
        <v>6.2123171599196697E-2</v>
      </c>
      <c r="L65">
        <v>3.7486812638885002E-2</v>
      </c>
      <c r="M65">
        <v>2.5700000000000001E-2</v>
      </c>
      <c r="N65">
        <v>0.69910000000000005</v>
      </c>
      <c r="O65">
        <v>0.49540000000000001</v>
      </c>
      <c r="P65">
        <f t="shared" si="13"/>
        <v>7</v>
      </c>
      <c r="Q65">
        <f t="shared" si="14"/>
        <v>178</v>
      </c>
      <c r="R65">
        <f t="shared" si="15"/>
        <v>126</v>
      </c>
      <c r="S65" s="21">
        <f t="shared" si="16"/>
        <v>8303111</v>
      </c>
      <c r="V65">
        <f t="shared" si="17"/>
        <v>2.0589915169075871E-7</v>
      </c>
      <c r="W65">
        <f t="shared" si="18"/>
        <v>2.0589868609917481E-7</v>
      </c>
      <c r="X65">
        <f t="shared" si="19"/>
        <v>6.5202021256653303E-20</v>
      </c>
    </row>
    <row r="66" spans="1:24" x14ac:dyDescent="0.25">
      <c r="A66" t="s">
        <v>17</v>
      </c>
      <c r="G66">
        <v>0.13170000000000001</v>
      </c>
      <c r="H66">
        <v>-0.13170000000000001</v>
      </c>
      <c r="I66">
        <v>0</v>
      </c>
      <c r="J66">
        <v>6.0816646212469801E-2</v>
      </c>
      <c r="K66">
        <v>6.0007777513073103E-2</v>
      </c>
      <c r="L66">
        <v>3.7832613269491798E-2</v>
      </c>
      <c r="M66">
        <v>0.16550000000000001</v>
      </c>
      <c r="N66">
        <v>0.63929999999999998</v>
      </c>
      <c r="O66">
        <v>0.502</v>
      </c>
      <c r="P66">
        <f t="shared" si="13"/>
        <v>42</v>
      </c>
      <c r="Q66">
        <f t="shared" si="14"/>
        <v>163</v>
      </c>
      <c r="R66">
        <f t="shared" si="15"/>
        <v>128</v>
      </c>
      <c r="S66" s="22">
        <f t="shared" si="16"/>
        <v>8430378</v>
      </c>
      <c r="V66">
        <f t="shared" si="17"/>
        <v>1.0354808973235571E-7</v>
      </c>
      <c r="W66">
        <f t="shared" si="18"/>
        <v>1.0354775955385131E-7</v>
      </c>
      <c r="X66">
        <f t="shared" si="19"/>
        <v>1.054546718494696E-5</v>
      </c>
    </row>
    <row r="67" spans="1:24" x14ac:dyDescent="0.25">
      <c r="A67" t="s">
        <v>19</v>
      </c>
      <c r="G67">
        <v>0</v>
      </c>
      <c r="H67">
        <v>-0.18629999999999999</v>
      </c>
      <c r="I67">
        <v>0</v>
      </c>
      <c r="J67">
        <v>6.5919162716910798E-2</v>
      </c>
      <c r="K67">
        <v>5.4905261008632099E-2</v>
      </c>
      <c r="L67">
        <v>3.7975974806554298E-2</v>
      </c>
      <c r="M67">
        <v>0.50119999999999998</v>
      </c>
      <c r="N67">
        <v>0.498</v>
      </c>
      <c r="O67">
        <v>0.50729999999999997</v>
      </c>
      <c r="P67">
        <f t="shared" si="13"/>
        <v>128</v>
      </c>
      <c r="Q67">
        <f t="shared" si="14"/>
        <v>127</v>
      </c>
      <c r="R67">
        <f t="shared" si="15"/>
        <v>129</v>
      </c>
      <c r="S67" s="23">
        <f t="shared" si="16"/>
        <v>8486784</v>
      </c>
      <c r="V67">
        <f t="shared" si="17"/>
        <v>4.0069748952869788E-20</v>
      </c>
      <c r="W67">
        <f t="shared" si="18"/>
        <v>3.7256592276358661E-23</v>
      </c>
      <c r="X67">
        <f t="shared" si="19"/>
        <v>2.109011716943899E-5</v>
      </c>
    </row>
    <row r="68" spans="1:24" x14ac:dyDescent="0.25">
      <c r="A68">
        <v>0.18629999999999999</v>
      </c>
      <c r="B68">
        <v>0</v>
      </c>
      <c r="C68">
        <v>0</v>
      </c>
      <c r="G68">
        <v>-0.13170000000000001</v>
      </c>
      <c r="H68">
        <v>-0.13170000000000001</v>
      </c>
      <c r="I68">
        <v>0</v>
      </c>
      <c r="J68">
        <v>7.1021679221351802E-2</v>
      </c>
      <c r="K68">
        <v>4.9802744504191102E-2</v>
      </c>
      <c r="L68">
        <v>3.7832613269491798E-2</v>
      </c>
      <c r="M68">
        <v>0.83620000000000005</v>
      </c>
      <c r="N68">
        <v>0.35780000000000001</v>
      </c>
      <c r="O68">
        <v>0.50839999999999996</v>
      </c>
      <c r="P68">
        <f t="shared" si="13"/>
        <v>213</v>
      </c>
      <c r="Q68">
        <f t="shared" si="14"/>
        <v>91</v>
      </c>
      <c r="R68">
        <f t="shared" si="15"/>
        <v>130</v>
      </c>
      <c r="S68" s="24">
        <f t="shared" si="16"/>
        <v>8543189</v>
      </c>
      <c r="V68">
        <f t="shared" si="17"/>
        <v>1.035478923096899E-7</v>
      </c>
      <c r="W68">
        <f t="shared" si="18"/>
        <v>1.0354776741040201E-7</v>
      </c>
      <c r="X68">
        <f t="shared" si="19"/>
        <v>1.054546718494696E-5</v>
      </c>
    </row>
    <row r="69" spans="1:24" x14ac:dyDescent="0.25">
      <c r="A69">
        <v>0.18629999999999999</v>
      </c>
      <c r="B69">
        <v>45</v>
      </c>
      <c r="C69">
        <v>0</v>
      </c>
    </row>
    <row r="70" spans="1:24" x14ac:dyDescent="0.25">
      <c r="A70">
        <v>0.18629999999999999</v>
      </c>
      <c r="B70">
        <v>90</v>
      </c>
      <c r="C70">
        <v>0</v>
      </c>
    </row>
    <row r="71" spans="1:24" x14ac:dyDescent="0.25">
      <c r="A71">
        <v>0.18629999999999999</v>
      </c>
      <c r="B71">
        <v>135</v>
      </c>
      <c r="C71">
        <v>0</v>
      </c>
      <c r="D71">
        <v>0</v>
      </c>
      <c r="E71">
        <v>0.13173399333505401</v>
      </c>
      <c r="F71">
        <v>0.13173399333505401</v>
      </c>
      <c r="G71">
        <v>6.03615683721253E-2</v>
      </c>
      <c r="H71">
        <v>6.04628553534175E-2</v>
      </c>
      <c r="I71">
        <v>3.2548525112561698E-2</v>
      </c>
      <c r="J71">
        <v>0.122638769462557</v>
      </c>
      <c r="K71">
        <v>0.67397527211600206</v>
      </c>
      <c r="L71">
        <v>0.42232577668376903</v>
      </c>
      <c r="M71">
        <f t="shared" ref="M69:M75" si="20">ROUND(J71*255,0)</f>
        <v>31</v>
      </c>
      <c r="N71">
        <f t="shared" ref="N69:N75" si="21">ROUND(K71*255,0)</f>
        <v>172</v>
      </c>
      <c r="O71">
        <f t="shared" ref="O69:O75" si="22">ROUND(L71*255,0)</f>
        <v>108</v>
      </c>
      <c r="P71" s="12">
        <f t="shared" ref="P68:Q75" si="23">M71+N71*256+O71*256^2</f>
        <v>7121951</v>
      </c>
      <c r="Q71" s="14">
        <v>6</v>
      </c>
    </row>
    <row r="72" spans="1:24" x14ac:dyDescent="0.25">
      <c r="A72">
        <v>0.18629999999999999</v>
      </c>
      <c r="B72">
        <v>180</v>
      </c>
      <c r="C72">
        <v>0</v>
      </c>
      <c r="D72" s="2">
        <v>0</v>
      </c>
      <c r="E72" s="2">
        <v>0.18629999999999999</v>
      </c>
      <c r="F72" s="7">
        <v>2.28151698681152E-17</v>
      </c>
      <c r="G72">
        <v>5.8059537420347203E-2</v>
      </c>
      <c r="H72">
        <v>6.2764886305195694E-2</v>
      </c>
      <c r="I72">
        <v>3.7486812638885002E-2</v>
      </c>
      <c r="J72">
        <v>-1.6521644395829899E-2</v>
      </c>
      <c r="K72">
        <v>0.71679738986194597</v>
      </c>
      <c r="L72">
        <v>0.49500738225968799</v>
      </c>
      <c r="M72" s="2">
        <v>0</v>
      </c>
      <c r="N72">
        <f t="shared" si="21"/>
        <v>183</v>
      </c>
      <c r="O72">
        <f t="shared" si="22"/>
        <v>126</v>
      </c>
      <c r="P72" s="13">
        <f t="shared" si="23"/>
        <v>8304384</v>
      </c>
      <c r="Q72" s="13">
        <v>5</v>
      </c>
    </row>
    <row r="73" spans="1:24" x14ac:dyDescent="0.25">
      <c r="A73">
        <v>0.18629999999999999</v>
      </c>
      <c r="B73">
        <v>225</v>
      </c>
      <c r="C73">
        <v>0</v>
      </c>
      <c r="D73">
        <v>0</v>
      </c>
      <c r="E73">
        <v>0.13173399333505401</v>
      </c>
      <c r="F73">
        <v>-0.13173399333505401</v>
      </c>
      <c r="G73">
        <v>6.03615683721253E-2</v>
      </c>
      <c r="H73">
        <v>6.04628553534175E-2</v>
      </c>
      <c r="I73">
        <v>4.2425100165208299E-2</v>
      </c>
      <c r="J73">
        <v>0.146889315773608</v>
      </c>
      <c r="K73">
        <v>0.63262253691384895</v>
      </c>
      <c r="L73">
        <v>0.570613595596138</v>
      </c>
      <c r="M73">
        <f t="shared" si="20"/>
        <v>37</v>
      </c>
      <c r="N73">
        <f t="shared" si="21"/>
        <v>161</v>
      </c>
      <c r="O73">
        <f t="shared" si="22"/>
        <v>146</v>
      </c>
      <c r="P73" s="14">
        <f t="shared" si="23"/>
        <v>9609509</v>
      </c>
      <c r="Q73" s="12">
        <v>4</v>
      </c>
    </row>
    <row r="74" spans="1:24" x14ac:dyDescent="0.25">
      <c r="A74">
        <v>0.18629999999999999</v>
      </c>
      <c r="B74">
        <v>270</v>
      </c>
      <c r="C74">
        <v>0</v>
      </c>
      <c r="D74" s="5">
        <v>0</v>
      </c>
      <c r="E74" s="8">
        <v>3.4222754802172798E-17</v>
      </c>
      <c r="F74" s="5">
        <v>-0.18629999999999999</v>
      </c>
      <c r="G74">
        <v>6.5919162716910798E-2</v>
      </c>
      <c r="H74">
        <v>5.4905261008632099E-2</v>
      </c>
      <c r="I74">
        <v>4.4470605833509202E-2</v>
      </c>
      <c r="J74">
        <v>0.51714772574402301</v>
      </c>
      <c r="K74">
        <v>0.47075920051794601</v>
      </c>
      <c r="L74">
        <v>0.60485532232029904</v>
      </c>
      <c r="M74">
        <f t="shared" si="20"/>
        <v>132</v>
      </c>
      <c r="N74">
        <f t="shared" si="21"/>
        <v>120</v>
      </c>
      <c r="O74">
        <f t="shared" si="22"/>
        <v>154</v>
      </c>
      <c r="P74" s="15">
        <f t="shared" si="23"/>
        <v>10123396</v>
      </c>
      <c r="Q74" s="11">
        <v>3</v>
      </c>
    </row>
    <row r="75" spans="1:24" x14ac:dyDescent="0.25">
      <c r="A75">
        <v>0.18629999999999999</v>
      </c>
      <c r="B75">
        <v>315</v>
      </c>
      <c r="C75">
        <v>0</v>
      </c>
      <c r="D75">
        <v>0</v>
      </c>
      <c r="E75">
        <v>-0.13173399333505401</v>
      </c>
      <c r="F75">
        <v>-0.13173399333505401</v>
      </c>
      <c r="G75">
        <v>7.1476757061696206E-2</v>
      </c>
      <c r="H75">
        <v>4.9347666663846601E-2</v>
      </c>
      <c r="I75">
        <v>4.2425100165208299E-2</v>
      </c>
      <c r="J75">
        <v>0.87736123053744297</v>
      </c>
      <c r="K75">
        <v>0.326024727883998</v>
      </c>
      <c r="L75">
        <v>0.57767422331623097</v>
      </c>
      <c r="M75">
        <f t="shared" si="20"/>
        <v>224</v>
      </c>
      <c r="N75">
        <f t="shared" si="21"/>
        <v>83</v>
      </c>
      <c r="O75">
        <f t="shared" si="22"/>
        <v>147</v>
      </c>
      <c r="P75" s="16">
        <f t="shared" si="23"/>
        <v>9655264</v>
      </c>
      <c r="Q75" s="10">
        <v>2</v>
      </c>
    </row>
    <row r="78" spans="1:24" x14ac:dyDescent="0.25">
      <c r="A78" t="s">
        <v>18</v>
      </c>
      <c r="B78">
        <v>6.59E-2</v>
      </c>
      <c r="C78">
        <v>5.4899999999999997E-2</v>
      </c>
      <c r="D78">
        <v>3.7499999999999999E-2</v>
      </c>
    </row>
    <row r="81" spans="1:21" x14ac:dyDescent="0.25">
      <c r="A81" t="s">
        <v>22</v>
      </c>
    </row>
    <row r="82" spans="1:21" x14ac:dyDescent="0.25">
      <c r="D82">
        <v>0.18629999999999999</v>
      </c>
      <c r="E82">
        <v>0</v>
      </c>
      <c r="F82">
        <v>0</v>
      </c>
      <c r="G82">
        <v>7.3778788013474303E-2</v>
      </c>
      <c r="H82">
        <v>4.7045635712068497E-2</v>
      </c>
      <c r="I82">
        <v>3.7486812638885002E-2</v>
      </c>
      <c r="J82">
        <v>1</v>
      </c>
      <c r="K82">
        <v>0.28320261013805498</v>
      </c>
      <c r="L82">
        <v>0.50499261774031101</v>
      </c>
      <c r="M82" s="2">
        <f t="shared" ref="M82" si="24">ROUND(J82*255,0)</f>
        <v>255</v>
      </c>
      <c r="N82">
        <f t="shared" ref="N82" si="25">ROUND(K82*255,0)</f>
        <v>72</v>
      </c>
      <c r="O82">
        <f t="shared" ref="O82" si="26">ROUND(L82*255,0)</f>
        <v>129</v>
      </c>
      <c r="P82" s="9">
        <f t="shared" ref="P82:P89" si="27">M82+N82*256+O82*256^2</f>
        <v>8472831</v>
      </c>
    </row>
    <row r="83" spans="1:21" x14ac:dyDescent="0.25">
      <c r="D83">
        <v>0.13173399333505401</v>
      </c>
      <c r="E83">
        <v>0.13173399333505401</v>
      </c>
      <c r="F83">
        <v>0</v>
      </c>
      <c r="G83">
        <v>7.1476757061696206E-2</v>
      </c>
      <c r="H83">
        <v>4.9347666663846601E-2</v>
      </c>
      <c r="I83">
        <v>4.2425100165208299E-2</v>
      </c>
      <c r="J83">
        <v>0.87736123053744297</v>
      </c>
      <c r="K83">
        <v>0.326024727883998</v>
      </c>
      <c r="L83">
        <v>0.57767422331623097</v>
      </c>
      <c r="M83">
        <f t="shared" ref="M83:M89" si="28">ROUND(J83*255,0)</f>
        <v>224</v>
      </c>
      <c r="N83">
        <f t="shared" ref="N83:N89" si="29">ROUND(K83*255,0)</f>
        <v>83</v>
      </c>
      <c r="O83">
        <f t="shared" ref="O83:O89" si="30">ROUND(L83*255,0)</f>
        <v>147</v>
      </c>
      <c r="P83" s="16">
        <f t="shared" si="27"/>
        <v>9655264</v>
      </c>
    </row>
    <row r="84" spans="1:21" x14ac:dyDescent="0.25">
      <c r="D84" s="1">
        <v>1.14075849340576E-17</v>
      </c>
      <c r="E84">
        <v>0.18629999999999999</v>
      </c>
      <c r="F84">
        <v>0</v>
      </c>
      <c r="G84">
        <v>6.5919162716910798E-2</v>
      </c>
      <c r="H84">
        <v>5.4905261008632099E-2</v>
      </c>
      <c r="I84">
        <v>4.4470605833509202E-2</v>
      </c>
      <c r="J84">
        <v>0.51714772574402301</v>
      </c>
      <c r="K84">
        <v>0.47075920051794601</v>
      </c>
      <c r="L84">
        <v>0.60485532232029904</v>
      </c>
      <c r="M84">
        <f t="shared" si="28"/>
        <v>132</v>
      </c>
      <c r="N84">
        <f t="shared" si="29"/>
        <v>120</v>
      </c>
      <c r="O84">
        <f t="shared" si="30"/>
        <v>154</v>
      </c>
      <c r="P84" s="15">
        <f t="shared" si="27"/>
        <v>10123396</v>
      </c>
    </row>
    <row r="85" spans="1:21" x14ac:dyDescent="0.25">
      <c r="D85">
        <v>-0.13173399333505401</v>
      </c>
      <c r="E85">
        <v>0.13173399333505401</v>
      </c>
      <c r="F85">
        <v>0</v>
      </c>
      <c r="G85">
        <v>6.03615683721253E-2</v>
      </c>
      <c r="H85">
        <v>6.04628553534175E-2</v>
      </c>
      <c r="I85">
        <v>4.2425100165208299E-2</v>
      </c>
      <c r="J85">
        <v>0.146889315773608</v>
      </c>
      <c r="K85">
        <v>0.63262253691384895</v>
      </c>
      <c r="L85">
        <v>0.570613595596138</v>
      </c>
      <c r="M85">
        <f t="shared" si="28"/>
        <v>37</v>
      </c>
      <c r="N85">
        <f t="shared" si="29"/>
        <v>161</v>
      </c>
      <c r="O85">
        <f t="shared" si="30"/>
        <v>146</v>
      </c>
      <c r="P85" s="14">
        <f t="shared" si="27"/>
        <v>9609509</v>
      </c>
    </row>
    <row r="86" spans="1:21" x14ac:dyDescent="0.25">
      <c r="D86">
        <v>-0.18629999999999999</v>
      </c>
      <c r="E86" s="1">
        <v>2.28151698681152E-17</v>
      </c>
      <c r="F86">
        <v>0</v>
      </c>
      <c r="G86">
        <v>5.8059537420347203E-2</v>
      </c>
      <c r="H86">
        <v>6.2764886305195694E-2</v>
      </c>
      <c r="I86">
        <v>3.7486812638885002E-2</v>
      </c>
      <c r="J86">
        <v>0</v>
      </c>
      <c r="K86">
        <v>0.71679738986194597</v>
      </c>
      <c r="L86">
        <v>0.49500738225968799</v>
      </c>
      <c r="M86" s="2">
        <f t="shared" si="28"/>
        <v>0</v>
      </c>
      <c r="N86">
        <f t="shared" si="29"/>
        <v>183</v>
      </c>
      <c r="O86">
        <f t="shared" si="30"/>
        <v>126</v>
      </c>
      <c r="P86" s="13">
        <f t="shared" si="27"/>
        <v>8304384</v>
      </c>
    </row>
    <row r="87" spans="1:21" x14ac:dyDescent="0.25">
      <c r="D87">
        <v>-0.13173399333505401</v>
      </c>
      <c r="E87">
        <v>-0.13173399333505401</v>
      </c>
      <c r="F87">
        <v>0</v>
      </c>
      <c r="G87">
        <v>6.03615683721253E-2</v>
      </c>
      <c r="H87">
        <v>6.04628553534175E-2</v>
      </c>
      <c r="I87">
        <v>3.2548525112561698E-2</v>
      </c>
      <c r="J87">
        <v>0.122638769462557</v>
      </c>
      <c r="K87">
        <v>0.67397527211600206</v>
      </c>
      <c r="L87">
        <v>0.42232577668376903</v>
      </c>
      <c r="M87">
        <f t="shared" si="28"/>
        <v>31</v>
      </c>
      <c r="N87">
        <f t="shared" si="29"/>
        <v>172</v>
      </c>
      <c r="O87">
        <f t="shared" si="30"/>
        <v>108</v>
      </c>
      <c r="P87" s="12">
        <f t="shared" si="27"/>
        <v>7121951</v>
      </c>
    </row>
    <row r="88" spans="1:21" x14ac:dyDescent="0.25">
      <c r="D88" s="1">
        <v>-3.4222754802172798E-17</v>
      </c>
      <c r="E88">
        <v>-0.18629999999999999</v>
      </c>
      <c r="F88">
        <v>0</v>
      </c>
      <c r="G88">
        <v>6.5919162716910798E-2</v>
      </c>
      <c r="H88">
        <v>5.4905261008632099E-2</v>
      </c>
      <c r="I88">
        <v>3.05030194442607E-2</v>
      </c>
      <c r="J88">
        <v>0.48285227425597799</v>
      </c>
      <c r="K88">
        <v>0.52924079948205405</v>
      </c>
      <c r="L88">
        <v>0.39514467767970102</v>
      </c>
      <c r="M88">
        <f t="shared" si="28"/>
        <v>123</v>
      </c>
      <c r="N88">
        <f t="shared" si="29"/>
        <v>135</v>
      </c>
      <c r="O88">
        <f t="shared" si="30"/>
        <v>101</v>
      </c>
      <c r="P88" s="11">
        <f t="shared" si="27"/>
        <v>6653819</v>
      </c>
    </row>
    <row r="89" spans="1:21" x14ac:dyDescent="0.25">
      <c r="D89">
        <v>0.13173399333505401</v>
      </c>
      <c r="E89">
        <v>-0.13173399333505401</v>
      </c>
      <c r="F89">
        <v>0</v>
      </c>
      <c r="G89">
        <v>7.1476757061696206E-2</v>
      </c>
      <c r="H89">
        <v>4.9347666663846601E-2</v>
      </c>
      <c r="I89">
        <v>3.2548525112561698E-2</v>
      </c>
      <c r="J89">
        <v>0.85311068422639202</v>
      </c>
      <c r="K89">
        <v>0.36737746308615099</v>
      </c>
      <c r="L89">
        <v>0.429386404403862</v>
      </c>
      <c r="M89">
        <f t="shared" si="28"/>
        <v>218</v>
      </c>
      <c r="N89">
        <f t="shared" si="29"/>
        <v>94</v>
      </c>
      <c r="O89">
        <f t="shared" si="30"/>
        <v>109</v>
      </c>
      <c r="P89" s="10">
        <f t="shared" si="27"/>
        <v>7167706</v>
      </c>
    </row>
    <row r="91" spans="1:21" x14ac:dyDescent="0.25">
      <c r="A91" t="s">
        <v>18</v>
      </c>
      <c r="B91">
        <v>6.59E-2</v>
      </c>
      <c r="C91">
        <v>5.4899999999999997E-2</v>
      </c>
      <c r="D91">
        <v>3.7499999999999999E-2</v>
      </c>
      <c r="G91" t="s">
        <v>26</v>
      </c>
      <c r="J91" t="s">
        <v>30</v>
      </c>
      <c r="R91" t="s">
        <v>31</v>
      </c>
    </row>
    <row r="92" spans="1:21" x14ac:dyDescent="0.25">
      <c r="A92">
        <v>0.18629999999999999</v>
      </c>
      <c r="B92">
        <v>0</v>
      </c>
      <c r="C92">
        <v>0</v>
      </c>
      <c r="D92">
        <v>0.18629999999999999</v>
      </c>
      <c r="E92">
        <v>0</v>
      </c>
      <c r="F92">
        <v>0</v>
      </c>
      <c r="G92">
        <v>7.3778788013474303E-2</v>
      </c>
      <c r="H92">
        <v>4.7045635712068497E-2</v>
      </c>
      <c r="I92">
        <v>3.7486812638885002E-2</v>
      </c>
      <c r="J92">
        <v>1</v>
      </c>
      <c r="K92">
        <v>0.28320261013805498</v>
      </c>
      <c r="L92">
        <v>0.50499261774031101</v>
      </c>
      <c r="M92" s="2">
        <f t="shared" ref="M92:M99" si="31">ROUND(J92*255,0)</f>
        <v>255</v>
      </c>
      <c r="N92">
        <f t="shared" ref="N92:N99" si="32">ROUND(K92*255,0)</f>
        <v>72</v>
      </c>
      <c r="O92">
        <f t="shared" ref="O92:O99" si="33">ROUND(L92*255,0)</f>
        <v>129</v>
      </c>
      <c r="P92" s="25">
        <f t="shared" ref="P92:P99" si="34">M92+N92*256+O92*256^2</f>
        <v>8472831</v>
      </c>
      <c r="R92">
        <v>255</v>
      </c>
      <c r="S92">
        <v>81</v>
      </c>
      <c r="T92">
        <v>129</v>
      </c>
      <c r="U92" s="33">
        <f t="shared" ref="U92:U99" si="35">R92+S92*256+T92*256^2</f>
        <v>8475135</v>
      </c>
    </row>
    <row r="93" spans="1:21" x14ac:dyDescent="0.25">
      <c r="A93">
        <v>0.18629999999999999</v>
      </c>
      <c r="B93">
        <v>45</v>
      </c>
      <c r="C93">
        <v>0</v>
      </c>
      <c r="D93">
        <v>0.13173399299999999</v>
      </c>
      <c r="E93">
        <v>0.13173399299999999</v>
      </c>
      <c r="F93">
        <v>0</v>
      </c>
      <c r="G93">
        <v>7.1476757047560902E-2</v>
      </c>
      <c r="H93">
        <v>4.9347666677981898E-2</v>
      </c>
      <c r="I93">
        <v>4.24251001526482E-2</v>
      </c>
      <c r="J93">
        <v>0.87736122957765805</v>
      </c>
      <c r="K93">
        <v>0.32602472832648899</v>
      </c>
      <c r="L93">
        <v>0.577674223118673</v>
      </c>
      <c r="M93">
        <f t="shared" si="31"/>
        <v>224</v>
      </c>
      <c r="N93">
        <f t="shared" si="32"/>
        <v>83</v>
      </c>
      <c r="O93">
        <f t="shared" si="33"/>
        <v>147</v>
      </c>
      <c r="P93" s="26">
        <f t="shared" si="34"/>
        <v>9655264</v>
      </c>
      <c r="R93">
        <v>221</v>
      </c>
      <c r="S93">
        <v>90</v>
      </c>
      <c r="T93">
        <v>146</v>
      </c>
      <c r="U93" s="34">
        <f t="shared" si="35"/>
        <v>9591517</v>
      </c>
    </row>
    <row r="94" spans="1:21" x14ac:dyDescent="0.25">
      <c r="A94">
        <v>0.18629999999999999</v>
      </c>
      <c r="B94">
        <v>90</v>
      </c>
      <c r="C94">
        <v>0</v>
      </c>
      <c r="D94">
        <v>0</v>
      </c>
      <c r="E94">
        <v>0.18629999999999999</v>
      </c>
      <c r="F94">
        <v>0</v>
      </c>
      <c r="G94">
        <v>6.5919162716910798E-2</v>
      </c>
      <c r="H94">
        <v>5.4905261008632099E-2</v>
      </c>
      <c r="I94">
        <v>4.4470605833509202E-2</v>
      </c>
      <c r="J94">
        <v>0.51714772574402301</v>
      </c>
      <c r="K94">
        <v>0.47075920051794601</v>
      </c>
      <c r="L94">
        <v>0.60485532232029904</v>
      </c>
      <c r="M94">
        <f t="shared" si="31"/>
        <v>132</v>
      </c>
      <c r="N94">
        <f t="shared" si="32"/>
        <v>120</v>
      </c>
      <c r="O94">
        <f t="shared" si="33"/>
        <v>154</v>
      </c>
      <c r="P94" s="27">
        <f t="shared" si="34"/>
        <v>10123396</v>
      </c>
      <c r="R94">
        <v>132</v>
      </c>
      <c r="S94">
        <v>122</v>
      </c>
      <c r="T94">
        <v>153</v>
      </c>
      <c r="U94" s="35">
        <f t="shared" si="35"/>
        <v>10058372</v>
      </c>
    </row>
    <row r="95" spans="1:21" x14ac:dyDescent="0.25">
      <c r="A95">
        <v>0.18629999999999999</v>
      </c>
      <c r="B95">
        <v>135</v>
      </c>
      <c r="C95">
        <v>0</v>
      </c>
      <c r="D95">
        <v>-0.13173399299999999</v>
      </c>
      <c r="E95">
        <v>0.13173399299999999</v>
      </c>
      <c r="F95">
        <v>0</v>
      </c>
      <c r="G95">
        <v>6.0361568386260597E-2</v>
      </c>
      <c r="H95">
        <v>6.04628553392823E-2</v>
      </c>
      <c r="I95">
        <v>4.24251001526482E-2</v>
      </c>
      <c r="J95">
        <v>0.14688931667171401</v>
      </c>
      <c r="K95">
        <v>0.632622536576535</v>
      </c>
      <c r="L95">
        <v>0.570613595416538</v>
      </c>
      <c r="M95">
        <f t="shared" si="31"/>
        <v>37</v>
      </c>
      <c r="N95">
        <f t="shared" si="32"/>
        <v>161</v>
      </c>
      <c r="O95">
        <f t="shared" si="33"/>
        <v>146</v>
      </c>
      <c r="P95" s="28">
        <f t="shared" si="34"/>
        <v>9609509</v>
      </c>
      <c r="R95">
        <v>40</v>
      </c>
      <c r="S95">
        <v>156</v>
      </c>
      <c r="T95">
        <v>144</v>
      </c>
      <c r="U95" s="36">
        <f t="shared" si="35"/>
        <v>9477160</v>
      </c>
    </row>
    <row r="96" spans="1:21" x14ac:dyDescent="0.25">
      <c r="A96">
        <v>0.18629999999999999</v>
      </c>
      <c r="B96">
        <v>180</v>
      </c>
      <c r="C96">
        <v>0</v>
      </c>
      <c r="D96">
        <v>-0.18629999999999999</v>
      </c>
      <c r="E96">
        <v>0</v>
      </c>
      <c r="F96">
        <v>0</v>
      </c>
      <c r="G96">
        <v>5.8059537420347203E-2</v>
      </c>
      <c r="H96">
        <v>6.2764886305195694E-2</v>
      </c>
      <c r="I96">
        <v>3.7486812638885002E-2</v>
      </c>
      <c r="J96">
        <v>0</v>
      </c>
      <c r="K96">
        <v>0.71679738986194597</v>
      </c>
      <c r="L96">
        <v>0.49500738225968799</v>
      </c>
      <c r="M96" s="2">
        <f t="shared" si="31"/>
        <v>0</v>
      </c>
      <c r="N96">
        <f t="shared" si="32"/>
        <v>183</v>
      </c>
      <c r="O96">
        <f t="shared" si="33"/>
        <v>126</v>
      </c>
      <c r="P96" s="29">
        <f t="shared" si="34"/>
        <v>8304384</v>
      </c>
      <c r="R96">
        <v>0</v>
      </c>
      <c r="S96">
        <v>174</v>
      </c>
      <c r="T96">
        <v>126</v>
      </c>
      <c r="U96" s="37">
        <f t="shared" si="35"/>
        <v>8302080</v>
      </c>
    </row>
    <row r="97" spans="1:21" x14ac:dyDescent="0.25">
      <c r="A97">
        <v>0.18629999999999999</v>
      </c>
      <c r="B97">
        <v>225</v>
      </c>
      <c r="C97">
        <v>0</v>
      </c>
      <c r="D97">
        <v>-0.13173399299999999</v>
      </c>
      <c r="E97">
        <v>-0.13173399299999999</v>
      </c>
      <c r="F97">
        <v>0</v>
      </c>
      <c r="G97">
        <v>6.0361568386260597E-2</v>
      </c>
      <c r="H97">
        <v>6.04628553392823E-2</v>
      </c>
      <c r="I97">
        <v>3.2548525125121797E-2</v>
      </c>
      <c r="J97">
        <v>0.122638770422342</v>
      </c>
      <c r="K97">
        <v>0.67397527167351101</v>
      </c>
      <c r="L97">
        <v>0.422325776881327</v>
      </c>
      <c r="M97">
        <f t="shared" si="31"/>
        <v>31</v>
      </c>
      <c r="N97">
        <f t="shared" si="32"/>
        <v>172</v>
      </c>
      <c r="O97">
        <f t="shared" si="33"/>
        <v>108</v>
      </c>
      <c r="P97" s="30">
        <f t="shared" si="34"/>
        <v>7121951</v>
      </c>
      <c r="R97">
        <v>34</v>
      </c>
      <c r="S97">
        <v>165</v>
      </c>
      <c r="T97">
        <v>109</v>
      </c>
      <c r="U97" s="38">
        <f t="shared" si="35"/>
        <v>7185698</v>
      </c>
    </row>
    <row r="98" spans="1:21" x14ac:dyDescent="0.25">
      <c r="A98">
        <v>0.18629999999999999</v>
      </c>
      <c r="B98">
        <v>270</v>
      </c>
      <c r="C98">
        <v>0</v>
      </c>
      <c r="D98">
        <v>0</v>
      </c>
      <c r="E98">
        <v>-0.18629999999999999</v>
      </c>
      <c r="F98">
        <v>0</v>
      </c>
      <c r="G98">
        <v>6.5919162716910798E-2</v>
      </c>
      <c r="H98">
        <v>5.4905261008632099E-2</v>
      </c>
      <c r="I98">
        <v>3.05030194442607E-2</v>
      </c>
      <c r="J98">
        <v>0.48285227425597799</v>
      </c>
      <c r="K98">
        <v>0.52924079948205405</v>
      </c>
      <c r="L98">
        <v>0.39514467767970102</v>
      </c>
      <c r="M98">
        <f t="shared" si="31"/>
        <v>123</v>
      </c>
      <c r="N98">
        <f t="shared" si="32"/>
        <v>135</v>
      </c>
      <c r="O98">
        <f t="shared" si="33"/>
        <v>101</v>
      </c>
      <c r="P98" s="31">
        <f t="shared" si="34"/>
        <v>6653819</v>
      </c>
      <c r="R98">
        <v>123</v>
      </c>
      <c r="S98">
        <v>133</v>
      </c>
      <c r="T98">
        <v>102</v>
      </c>
      <c r="U98" s="39">
        <f t="shared" si="35"/>
        <v>6718843</v>
      </c>
    </row>
    <row r="99" spans="1:21" x14ac:dyDescent="0.25">
      <c r="A99">
        <v>0.18629999999999999</v>
      </c>
      <c r="B99">
        <v>315</v>
      </c>
      <c r="C99">
        <v>0</v>
      </c>
      <c r="D99">
        <v>0.13173399299999999</v>
      </c>
      <c r="E99">
        <v>-0.13173399299999999</v>
      </c>
      <c r="F99">
        <v>0</v>
      </c>
      <c r="G99">
        <v>7.1476757047560902E-2</v>
      </c>
      <c r="H99">
        <v>4.9347666677981898E-2</v>
      </c>
      <c r="I99">
        <v>3.2548525125121797E-2</v>
      </c>
      <c r="J99">
        <v>0.85311068332828599</v>
      </c>
      <c r="K99">
        <v>0.367377463423465</v>
      </c>
      <c r="L99">
        <v>0.429386404583462</v>
      </c>
      <c r="M99">
        <f t="shared" si="31"/>
        <v>218</v>
      </c>
      <c r="N99">
        <f t="shared" si="32"/>
        <v>94</v>
      </c>
      <c r="O99">
        <f t="shared" si="33"/>
        <v>109</v>
      </c>
      <c r="P99" s="32">
        <f t="shared" si="34"/>
        <v>7167706</v>
      </c>
      <c r="R99">
        <v>215</v>
      </c>
      <c r="S99">
        <v>99</v>
      </c>
      <c r="T99">
        <v>111</v>
      </c>
      <c r="U99" s="40">
        <f t="shared" si="35"/>
        <v>7300055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807B0-FC54-4340-A132-2C9D9A582647}">
  <sheetPr codeName="Sheet2"/>
  <dimension ref="A2:P40"/>
  <sheetViews>
    <sheetView tabSelected="1" workbookViewId="0">
      <selection activeCell="T22" sqref="T22"/>
    </sheetView>
  </sheetViews>
  <sheetFormatPr defaultRowHeight="15" x14ac:dyDescent="0.25"/>
  <cols>
    <col min="9" max="9" width="12.7109375" bestFit="1" customWidth="1"/>
    <col min="10" max="10" width="12" bestFit="1" customWidth="1"/>
    <col min="11" max="11" width="12.7109375" bestFit="1" customWidth="1"/>
    <col min="13" max="13" width="12" bestFit="1" customWidth="1"/>
  </cols>
  <sheetData>
    <row r="2" spans="1:16" x14ac:dyDescent="0.25">
      <c r="A2" t="s">
        <v>32</v>
      </c>
      <c r="D2" t="s">
        <v>33</v>
      </c>
      <c r="G2" t="s">
        <v>26</v>
      </c>
      <c r="J2" t="s">
        <v>30</v>
      </c>
    </row>
    <row r="3" spans="1:16" x14ac:dyDescent="0.25">
      <c r="A3">
        <v>0.18629999999999999</v>
      </c>
      <c r="B3">
        <v>0</v>
      </c>
      <c r="C3">
        <v>0</v>
      </c>
      <c r="D3">
        <v>0.18629999999999999</v>
      </c>
      <c r="E3">
        <v>0</v>
      </c>
      <c r="F3">
        <v>0</v>
      </c>
      <c r="G3">
        <v>1.7110490923108099</v>
      </c>
      <c r="H3">
        <v>1.09875583679095</v>
      </c>
      <c r="I3">
        <v>0.67291165846479395</v>
      </c>
      <c r="J3">
        <v>0.87260000000000004</v>
      </c>
      <c r="K3">
        <v>0.35699999999999998</v>
      </c>
      <c r="L3">
        <v>0.50639999999999996</v>
      </c>
      <c r="M3">
        <f>ROUND(J3*255,0)</f>
        <v>223</v>
      </c>
      <c r="N3">
        <f>ROUND(K3*255,0)</f>
        <v>91</v>
      </c>
      <c r="O3">
        <f>ROUND(L3*255,0)</f>
        <v>129</v>
      </c>
      <c r="P3" s="41">
        <f t="shared" ref="P3:P10" si="0">M3+N3*256+O3*256^2</f>
        <v>8477663</v>
      </c>
    </row>
    <row r="4" spans="1:16" x14ac:dyDescent="0.25">
      <c r="A4">
        <v>0.18629999999999999</v>
      </c>
      <c r="B4">
        <v>45</v>
      </c>
      <c r="C4">
        <v>0</v>
      </c>
      <c r="D4">
        <v>0.13173399333505401</v>
      </c>
      <c r="E4">
        <v>0.13173399333505401</v>
      </c>
      <c r="F4">
        <v>0</v>
      </c>
      <c r="G4">
        <v>1.65746482036853</v>
      </c>
      <c r="H4">
        <v>1.1523401087332401</v>
      </c>
      <c r="I4">
        <v>0.76155699839607505</v>
      </c>
      <c r="J4">
        <v>0.76770000000000005</v>
      </c>
      <c r="K4">
        <v>0.3916</v>
      </c>
      <c r="L4">
        <v>0.57369999999999999</v>
      </c>
      <c r="M4">
        <f t="shared" ref="M4:M10" si="1">ROUND(J4*255,0)</f>
        <v>196</v>
      </c>
      <c r="N4">
        <f t="shared" ref="N4:N10" si="2">ROUND(K4*255,0)</f>
        <v>100</v>
      </c>
      <c r="O4">
        <f t="shared" ref="O4:O10" si="3">ROUND(L4*255,0)</f>
        <v>146</v>
      </c>
      <c r="P4" s="42">
        <f t="shared" si="0"/>
        <v>9594052</v>
      </c>
    </row>
    <row r="5" spans="1:16" x14ac:dyDescent="0.25">
      <c r="A5">
        <v>0.18629999999999999</v>
      </c>
      <c r="B5">
        <v>90</v>
      </c>
      <c r="C5">
        <v>0</v>
      </c>
      <c r="D5" s="1">
        <v>1.14075849340576E-17</v>
      </c>
      <c r="E5">
        <v>0.18629999999999999</v>
      </c>
      <c r="F5">
        <v>0</v>
      </c>
      <c r="G5">
        <v>1.52810094431557</v>
      </c>
      <c r="H5">
        <v>1.28170398478619</v>
      </c>
      <c r="I5">
        <v>0.79827510043678496</v>
      </c>
      <c r="J5">
        <v>0.50600000000000001</v>
      </c>
      <c r="K5">
        <v>0.48970000000000002</v>
      </c>
      <c r="L5">
        <v>0.5978</v>
      </c>
      <c r="M5">
        <f t="shared" si="1"/>
        <v>129</v>
      </c>
      <c r="N5">
        <f t="shared" si="2"/>
        <v>125</v>
      </c>
      <c r="O5">
        <f t="shared" si="3"/>
        <v>152</v>
      </c>
      <c r="P5" s="43">
        <f t="shared" si="0"/>
        <v>9993601</v>
      </c>
    </row>
    <row r="6" spans="1:16" x14ac:dyDescent="0.25">
      <c r="A6">
        <v>0.18629999999999999</v>
      </c>
      <c r="B6">
        <v>135</v>
      </c>
      <c r="C6">
        <v>0</v>
      </c>
      <c r="D6">
        <v>-0.13173399333505401</v>
      </c>
      <c r="E6">
        <v>0.13173399333505401</v>
      </c>
      <c r="F6">
        <v>0</v>
      </c>
      <c r="G6">
        <v>1.3987370682626199</v>
      </c>
      <c r="H6">
        <v>1.41106786083915</v>
      </c>
      <c r="I6">
        <v>0.76155699839607505</v>
      </c>
      <c r="J6">
        <v>0.24079999999999999</v>
      </c>
      <c r="K6">
        <v>0.59379999999999999</v>
      </c>
      <c r="L6">
        <v>0.56459999999999999</v>
      </c>
      <c r="M6">
        <f t="shared" si="1"/>
        <v>61</v>
      </c>
      <c r="N6">
        <f t="shared" si="2"/>
        <v>151</v>
      </c>
      <c r="O6">
        <f t="shared" si="3"/>
        <v>144</v>
      </c>
      <c r="P6" s="44">
        <f t="shared" si="0"/>
        <v>9475901</v>
      </c>
    </row>
    <row r="7" spans="1:16" x14ac:dyDescent="0.25">
      <c r="A7">
        <v>0.18629999999999999</v>
      </c>
      <c r="B7">
        <v>180</v>
      </c>
      <c r="C7">
        <v>0</v>
      </c>
      <c r="D7">
        <v>-0.18629999999999999</v>
      </c>
      <c r="E7" s="1">
        <v>2.28151698681152E-17</v>
      </c>
      <c r="F7">
        <v>0</v>
      </c>
      <c r="G7">
        <v>1.34515279632033</v>
      </c>
      <c r="H7">
        <v>1.4646521327814399</v>
      </c>
      <c r="I7">
        <v>0.67291165846479395</v>
      </c>
      <c r="J7">
        <v>0.12740000000000001</v>
      </c>
      <c r="K7">
        <v>0.64300000000000002</v>
      </c>
      <c r="L7">
        <v>0.49359999999999998</v>
      </c>
      <c r="M7">
        <f t="shared" si="1"/>
        <v>32</v>
      </c>
      <c r="N7">
        <f t="shared" si="2"/>
        <v>164</v>
      </c>
      <c r="O7">
        <f t="shared" si="3"/>
        <v>126</v>
      </c>
      <c r="P7" s="45">
        <f t="shared" si="0"/>
        <v>8299552</v>
      </c>
    </row>
    <row r="8" spans="1:16" x14ac:dyDescent="0.25">
      <c r="A8">
        <v>0.18629999999999999</v>
      </c>
      <c r="B8">
        <v>225</v>
      </c>
      <c r="C8">
        <v>0</v>
      </c>
      <c r="D8">
        <v>-0.13173399333505401</v>
      </c>
      <c r="E8">
        <v>-0.13173399333505401</v>
      </c>
      <c r="F8">
        <v>0</v>
      </c>
      <c r="G8">
        <v>1.3987370682626199</v>
      </c>
      <c r="H8">
        <v>1.41106786083915</v>
      </c>
      <c r="I8">
        <v>0.58426631853351296</v>
      </c>
      <c r="J8">
        <v>0.23230000000000001</v>
      </c>
      <c r="K8">
        <v>0.60840000000000005</v>
      </c>
      <c r="L8">
        <v>0.42630000000000001</v>
      </c>
      <c r="M8">
        <f t="shared" si="1"/>
        <v>59</v>
      </c>
      <c r="N8">
        <f t="shared" si="2"/>
        <v>155</v>
      </c>
      <c r="O8">
        <f t="shared" si="3"/>
        <v>109</v>
      </c>
      <c r="P8" s="46">
        <f t="shared" si="0"/>
        <v>7183163</v>
      </c>
    </row>
    <row r="9" spans="1:16" x14ac:dyDescent="0.25">
      <c r="A9">
        <v>0.18629999999999999</v>
      </c>
      <c r="B9">
        <v>270</v>
      </c>
      <c r="C9">
        <v>0</v>
      </c>
      <c r="D9" s="1">
        <v>-3.4222754802172798E-17</v>
      </c>
      <c r="E9">
        <v>-0.18629999999999999</v>
      </c>
      <c r="F9">
        <v>0</v>
      </c>
      <c r="G9">
        <v>1.52810094431557</v>
      </c>
      <c r="H9">
        <v>1.28170398478619</v>
      </c>
      <c r="I9">
        <v>0.54754821649280305</v>
      </c>
      <c r="J9">
        <v>0.49399999999999999</v>
      </c>
      <c r="K9">
        <v>0.51029999999999998</v>
      </c>
      <c r="L9">
        <v>0.4022</v>
      </c>
      <c r="M9">
        <f t="shared" si="1"/>
        <v>126</v>
      </c>
      <c r="N9">
        <f t="shared" si="2"/>
        <v>130</v>
      </c>
      <c r="O9">
        <f t="shared" si="3"/>
        <v>103</v>
      </c>
      <c r="P9" s="47">
        <f t="shared" si="0"/>
        <v>6783614</v>
      </c>
    </row>
    <row r="10" spans="1:16" x14ac:dyDescent="0.25">
      <c r="A10">
        <v>0.18629999999999999</v>
      </c>
      <c r="B10">
        <v>315</v>
      </c>
      <c r="C10">
        <v>0</v>
      </c>
      <c r="D10">
        <v>0.13173399333505401</v>
      </c>
      <c r="E10">
        <v>-0.13173399333505401</v>
      </c>
      <c r="F10">
        <v>0</v>
      </c>
      <c r="G10">
        <v>1.65746482036853</v>
      </c>
      <c r="H10">
        <v>1.1523401087332401</v>
      </c>
      <c r="I10">
        <v>0.58426631853351296</v>
      </c>
      <c r="J10">
        <v>0.75919999999999999</v>
      </c>
      <c r="K10">
        <v>0.40620000000000001</v>
      </c>
      <c r="L10">
        <v>0.43540000000000001</v>
      </c>
      <c r="M10">
        <f t="shared" si="1"/>
        <v>194</v>
      </c>
      <c r="N10">
        <f t="shared" si="2"/>
        <v>104</v>
      </c>
      <c r="O10">
        <f t="shared" si="3"/>
        <v>111</v>
      </c>
      <c r="P10" s="48">
        <f t="shared" si="0"/>
        <v>7301314</v>
      </c>
    </row>
    <row r="12" spans="1:16" x14ac:dyDescent="0.25">
      <c r="A12" t="s">
        <v>34</v>
      </c>
      <c r="B12">
        <v>1.5281</v>
      </c>
      <c r="C12">
        <v>1.2817000000000001</v>
      </c>
      <c r="D12">
        <v>0.67290000000000005</v>
      </c>
      <c r="M12" t="s">
        <v>31</v>
      </c>
    </row>
    <row r="13" spans="1:16" x14ac:dyDescent="0.25">
      <c r="M13" s="2">
        <v>255</v>
      </c>
      <c r="N13">
        <v>81</v>
      </c>
      <c r="O13">
        <v>129</v>
      </c>
      <c r="P13" s="33">
        <f t="shared" ref="P13:P20" si="4">M13+N13*256+O13*256^2</f>
        <v>8475135</v>
      </c>
    </row>
    <row r="14" spans="1:16" x14ac:dyDescent="0.25">
      <c r="M14">
        <v>221</v>
      </c>
      <c r="N14">
        <v>90</v>
      </c>
      <c r="O14">
        <v>146</v>
      </c>
      <c r="P14" s="34">
        <f t="shared" si="4"/>
        <v>9591517</v>
      </c>
    </row>
    <row r="15" spans="1:16" x14ac:dyDescent="0.25">
      <c r="M15">
        <v>132</v>
      </c>
      <c r="N15">
        <v>122</v>
      </c>
      <c r="O15">
        <v>153</v>
      </c>
      <c r="P15" s="35">
        <f t="shared" si="4"/>
        <v>10058372</v>
      </c>
    </row>
    <row r="16" spans="1:16" x14ac:dyDescent="0.25">
      <c r="M16">
        <v>40</v>
      </c>
      <c r="N16">
        <v>156</v>
      </c>
      <c r="O16">
        <v>144</v>
      </c>
      <c r="P16" s="36">
        <f t="shared" si="4"/>
        <v>9477160</v>
      </c>
    </row>
    <row r="17" spans="1:16" x14ac:dyDescent="0.25">
      <c r="M17" s="2">
        <v>0</v>
      </c>
      <c r="N17">
        <v>174</v>
      </c>
      <c r="O17">
        <v>126</v>
      </c>
      <c r="P17" s="37">
        <f t="shared" si="4"/>
        <v>8302080</v>
      </c>
    </row>
    <row r="18" spans="1:16" x14ac:dyDescent="0.25">
      <c r="M18">
        <v>34</v>
      </c>
      <c r="N18">
        <v>165</v>
      </c>
      <c r="O18">
        <v>109</v>
      </c>
      <c r="P18" s="38">
        <f t="shared" si="4"/>
        <v>7185698</v>
      </c>
    </row>
    <row r="19" spans="1:16" x14ac:dyDescent="0.25">
      <c r="M19">
        <v>123</v>
      </c>
      <c r="N19">
        <v>133</v>
      </c>
      <c r="O19">
        <v>102</v>
      </c>
      <c r="P19" s="39">
        <f t="shared" si="4"/>
        <v>6718843</v>
      </c>
    </row>
    <row r="20" spans="1:16" x14ac:dyDescent="0.25">
      <c r="M20">
        <v>215</v>
      </c>
      <c r="N20">
        <v>99</v>
      </c>
      <c r="O20">
        <v>111</v>
      </c>
      <c r="P20" s="40">
        <f t="shared" si="4"/>
        <v>7300055</v>
      </c>
    </row>
    <row r="23" spans="1:16" x14ac:dyDescent="0.25">
      <c r="A23" t="s">
        <v>25</v>
      </c>
      <c r="E23" t="s">
        <v>30</v>
      </c>
      <c r="I23" t="s">
        <v>25</v>
      </c>
    </row>
    <row r="24" spans="1:16" x14ac:dyDescent="0.25">
      <c r="A24">
        <v>0.24999999999998901</v>
      </c>
      <c r="B24">
        <v>0</v>
      </c>
      <c r="C24">
        <v>0</v>
      </c>
      <c r="E24">
        <v>1</v>
      </c>
      <c r="F24">
        <v>0.30809999999999998</v>
      </c>
      <c r="G24">
        <v>0.50860000000000005</v>
      </c>
      <c r="I24">
        <v>0.25</v>
      </c>
      <c r="J24">
        <v>0</v>
      </c>
      <c r="K24">
        <v>0</v>
      </c>
    </row>
    <row r="25" spans="1:16" x14ac:dyDescent="0.25">
      <c r="A25">
        <v>0.17677669529662901</v>
      </c>
      <c r="B25">
        <v>0.17677669529662901</v>
      </c>
      <c r="C25">
        <v>0</v>
      </c>
      <c r="E25">
        <v>0.85919999999999996</v>
      </c>
      <c r="F25">
        <v>0.35449999999999998</v>
      </c>
      <c r="G25">
        <v>0.5988</v>
      </c>
      <c r="I25">
        <v>0.17680000000000001</v>
      </c>
      <c r="J25">
        <v>0.17680000000000001</v>
      </c>
      <c r="K25">
        <v>0</v>
      </c>
    </row>
    <row r="26" spans="1:16" x14ac:dyDescent="0.25">
      <c r="A26">
        <v>0</v>
      </c>
      <c r="B26">
        <v>0.24999999999998901</v>
      </c>
      <c r="C26">
        <v>0</v>
      </c>
      <c r="E26">
        <v>0.5081</v>
      </c>
      <c r="F26">
        <v>0.48609999999999998</v>
      </c>
      <c r="G26">
        <v>0.63119999999999998</v>
      </c>
      <c r="I26">
        <v>0</v>
      </c>
      <c r="J26">
        <v>0.25</v>
      </c>
      <c r="K26">
        <v>0</v>
      </c>
    </row>
    <row r="27" spans="1:16" x14ac:dyDescent="0.25">
      <c r="A27">
        <v>-0.17677669529662901</v>
      </c>
      <c r="B27">
        <v>0.17677669529662901</v>
      </c>
      <c r="C27">
        <v>0</v>
      </c>
      <c r="E27">
        <v>0.1522</v>
      </c>
      <c r="F27">
        <v>0.62590000000000001</v>
      </c>
      <c r="G27">
        <v>0.5867</v>
      </c>
      <c r="I27">
        <v>-0.17680000000000001</v>
      </c>
      <c r="J27">
        <v>0.17680000000000001</v>
      </c>
      <c r="K27">
        <v>0</v>
      </c>
    </row>
    <row r="28" spans="1:16" x14ac:dyDescent="0.25">
      <c r="A28">
        <v>-0.24999999999998901</v>
      </c>
      <c r="B28">
        <v>0</v>
      </c>
      <c r="C28">
        <v>0</v>
      </c>
      <c r="E28">
        <v>0</v>
      </c>
      <c r="F28">
        <v>0.69189999999999996</v>
      </c>
      <c r="G28">
        <v>0.4914</v>
      </c>
      <c r="I28">
        <v>-0.25</v>
      </c>
      <c r="J28">
        <v>0</v>
      </c>
      <c r="K28">
        <v>0</v>
      </c>
    </row>
    <row r="29" spans="1:16" x14ac:dyDescent="0.25">
      <c r="A29">
        <v>-0.17677669529662901</v>
      </c>
      <c r="B29">
        <v>-0.17677669529662901</v>
      </c>
      <c r="C29">
        <v>0</v>
      </c>
      <c r="E29">
        <v>0.14080000000000001</v>
      </c>
      <c r="F29">
        <v>0.64549999999999996</v>
      </c>
      <c r="G29">
        <v>0.4012</v>
      </c>
      <c r="I29">
        <v>-0.17680000000000001</v>
      </c>
      <c r="J29">
        <v>-0.17680000000000001</v>
      </c>
      <c r="K29">
        <v>0</v>
      </c>
    </row>
    <row r="30" spans="1:16" x14ac:dyDescent="0.25">
      <c r="A30">
        <v>0</v>
      </c>
      <c r="B30">
        <v>-0.24999999999998901</v>
      </c>
      <c r="C30">
        <v>0</v>
      </c>
      <c r="E30">
        <v>0.4919</v>
      </c>
      <c r="F30">
        <v>0.51390000000000002</v>
      </c>
      <c r="G30">
        <v>0.36880000000000002</v>
      </c>
      <c r="I30">
        <v>0</v>
      </c>
      <c r="J30">
        <v>-0.25</v>
      </c>
      <c r="K30">
        <v>0</v>
      </c>
    </row>
    <row r="31" spans="1:16" x14ac:dyDescent="0.25">
      <c r="A31">
        <v>0.17677669529662901</v>
      </c>
      <c r="B31">
        <v>-0.17677669529662901</v>
      </c>
      <c r="C31">
        <v>0</v>
      </c>
      <c r="E31">
        <v>0.8478</v>
      </c>
      <c r="F31">
        <v>0.37409999999999999</v>
      </c>
      <c r="G31">
        <v>0.4133</v>
      </c>
      <c r="I31">
        <v>0.17680000000000001</v>
      </c>
      <c r="J31">
        <v>-0.17680000000000001</v>
      </c>
      <c r="K31">
        <v>0</v>
      </c>
    </row>
    <row r="32" spans="1:16" x14ac:dyDescent="0.25">
      <c r="A32" t="s">
        <v>37</v>
      </c>
      <c r="E32" t="s">
        <v>35</v>
      </c>
      <c r="I32" t="s">
        <v>36</v>
      </c>
    </row>
    <row r="33" spans="1:11" x14ac:dyDescent="0.25">
      <c r="A33">
        <v>0.24999999999998901</v>
      </c>
      <c r="B33">
        <v>0</v>
      </c>
      <c r="C33">
        <v>0</v>
      </c>
      <c r="E33">
        <v>1</v>
      </c>
      <c r="F33">
        <v>0.30809999999999998</v>
      </c>
      <c r="G33">
        <v>0.50860000000000005</v>
      </c>
      <c r="I33">
        <v>0.24999999999998901</v>
      </c>
      <c r="J33">
        <v>9.5598992238275796E-17</v>
      </c>
      <c r="K33">
        <v>-1.3877787807814501E-16</v>
      </c>
    </row>
    <row r="34" spans="1:11" x14ac:dyDescent="0.25">
      <c r="A34">
        <v>0.17677669529662901</v>
      </c>
      <c r="B34">
        <v>0.17677669529662901</v>
      </c>
      <c r="C34">
        <v>0.23334523779157099</v>
      </c>
      <c r="E34">
        <v>0.79190000000000005</v>
      </c>
      <c r="F34">
        <v>0.28710000000000002</v>
      </c>
      <c r="G34">
        <v>0.53149999999999997</v>
      </c>
      <c r="I34">
        <v>0.17677669529662901</v>
      </c>
      <c r="J34">
        <v>0.17677669529662901</v>
      </c>
      <c r="K34">
        <v>0.23334523779157099</v>
      </c>
    </row>
    <row r="35" spans="1:11" x14ac:dyDescent="0.25">
      <c r="A35">
        <v>0</v>
      </c>
      <c r="B35">
        <v>0.24999999999998901</v>
      </c>
      <c r="C35">
        <v>0.330000000000015</v>
      </c>
      <c r="E35">
        <v>0.4128</v>
      </c>
      <c r="F35">
        <v>0.39090000000000003</v>
      </c>
      <c r="G35">
        <v>0.53590000000000004</v>
      </c>
      <c r="I35">
        <v>0</v>
      </c>
      <c r="J35">
        <v>0.24999999999998901</v>
      </c>
      <c r="K35">
        <v>0.330000000000015</v>
      </c>
    </row>
    <row r="36" spans="1:11" x14ac:dyDescent="0.25">
      <c r="A36">
        <v>-0.17677669529662901</v>
      </c>
      <c r="B36">
        <v>0.17677669529662901</v>
      </c>
      <c r="C36">
        <v>0.23334523779157099</v>
      </c>
      <c r="E36">
        <v>8.48E-2</v>
      </c>
      <c r="F36">
        <v>0.55859999999999999</v>
      </c>
      <c r="G36">
        <v>0.51939999999999997</v>
      </c>
      <c r="I36">
        <v>-0.17677669529662901</v>
      </c>
      <c r="J36">
        <v>0.17677669529662901</v>
      </c>
      <c r="K36">
        <v>0.23334523779157099</v>
      </c>
    </row>
    <row r="37" spans="1:11" x14ac:dyDescent="0.25">
      <c r="A37">
        <v>-0.24999999999998901</v>
      </c>
      <c r="B37">
        <v>0</v>
      </c>
      <c r="C37">
        <v>0</v>
      </c>
      <c r="E37">
        <v>0</v>
      </c>
      <c r="F37">
        <v>0.69189999999999996</v>
      </c>
      <c r="G37">
        <v>0.4914</v>
      </c>
      <c r="I37">
        <v>-0.24999999999998901</v>
      </c>
      <c r="J37">
        <v>2.4825465812423499E-16</v>
      </c>
      <c r="K37">
        <v>1.3877787807814501E-16</v>
      </c>
    </row>
    <row r="38" spans="1:11" x14ac:dyDescent="0.25">
      <c r="A38">
        <v>-0.17677669529662901</v>
      </c>
      <c r="B38">
        <v>-0.17677669529662901</v>
      </c>
      <c r="C38">
        <v>-0.23334523779157099</v>
      </c>
      <c r="E38">
        <v>0.20810000000000001</v>
      </c>
      <c r="F38">
        <v>0.71289999999999998</v>
      </c>
      <c r="G38">
        <v>0.46850000000000003</v>
      </c>
      <c r="I38">
        <v>-0.17677669529662901</v>
      </c>
      <c r="J38">
        <v>-0.17677669529662901</v>
      </c>
      <c r="K38">
        <v>-0.23334523779157099</v>
      </c>
    </row>
    <row r="39" spans="1:11" x14ac:dyDescent="0.25">
      <c r="A39">
        <v>0</v>
      </c>
      <c r="B39">
        <v>-0.24999999999998901</v>
      </c>
      <c r="C39">
        <v>-0.330000000000015</v>
      </c>
      <c r="E39">
        <v>0.58720000000000006</v>
      </c>
      <c r="F39">
        <v>0.60909999999999997</v>
      </c>
      <c r="G39">
        <v>0.46410000000000001</v>
      </c>
      <c r="I39">
        <v>-8.3266726846886704E-17</v>
      </c>
      <c r="J39">
        <v>-0.24999999999998901</v>
      </c>
      <c r="K39">
        <v>-0.330000000000015</v>
      </c>
    </row>
    <row r="40" spans="1:11" x14ac:dyDescent="0.25">
      <c r="A40">
        <v>0.17677669529662901</v>
      </c>
      <c r="B40">
        <v>-0.17677669529662901</v>
      </c>
      <c r="C40">
        <v>-0.23334523779157099</v>
      </c>
      <c r="E40">
        <v>0.91520000000000001</v>
      </c>
      <c r="F40">
        <v>0.44140000000000001</v>
      </c>
      <c r="G40">
        <v>0.48060000000000003</v>
      </c>
      <c r="I40">
        <v>0.17677669529662901</v>
      </c>
      <c r="J40">
        <v>-0.17677669529662901</v>
      </c>
      <c r="K40">
        <v>-0.23334523779157099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D6D7-D463-4FAF-9E1E-8EB3DDC0BFED}">
  <sheetPr codeName="Sheet3"/>
  <dimension ref="A1:W51"/>
  <sheetViews>
    <sheetView workbookViewId="0">
      <selection activeCell="K8" sqref="K8"/>
    </sheetView>
  </sheetViews>
  <sheetFormatPr defaultRowHeight="15" x14ac:dyDescent="0.25"/>
  <sheetData>
    <row r="1" spans="1:23" x14ac:dyDescent="0.25">
      <c r="A1" t="s">
        <v>38</v>
      </c>
      <c r="B1" t="s">
        <v>39</v>
      </c>
      <c r="C1" t="s">
        <v>12</v>
      </c>
      <c r="D1" t="s">
        <v>40</v>
      </c>
      <c r="G1" t="s">
        <v>20</v>
      </c>
      <c r="J1" t="s">
        <v>21</v>
      </c>
    </row>
    <row r="2" spans="1:23" x14ac:dyDescent="0.25">
      <c r="A2">
        <v>0.25</v>
      </c>
      <c r="B2">
        <v>0</v>
      </c>
      <c r="C2">
        <v>0</v>
      </c>
      <c r="D2">
        <v>0.25</v>
      </c>
      <c r="E2">
        <v>0</v>
      </c>
      <c r="F2">
        <v>0</v>
      </c>
      <c r="G2">
        <v>1.7736000000000001</v>
      </c>
      <c r="H2">
        <v>1.0362</v>
      </c>
      <c r="I2">
        <v>0.67290000000000005</v>
      </c>
      <c r="J2">
        <v>1</v>
      </c>
      <c r="K2">
        <v>0.30809999999999998</v>
      </c>
      <c r="L2">
        <v>0.50860000000000005</v>
      </c>
      <c r="M2">
        <f>ROUND(J2*255,0)</f>
        <v>255</v>
      </c>
      <c r="N2">
        <f>ROUND(K2*255,0)</f>
        <v>79</v>
      </c>
      <c r="O2">
        <f>ROUND(L2*255,0)</f>
        <v>130</v>
      </c>
      <c r="P2" s="50">
        <f>M2+N2*256+O2*256^2</f>
        <v>8540159</v>
      </c>
      <c r="R2">
        <v>0.25</v>
      </c>
      <c r="S2">
        <v>0</v>
      </c>
      <c r="T2">
        <v>0</v>
      </c>
      <c r="W2" s="50"/>
    </row>
    <row r="3" spans="1:23" x14ac:dyDescent="0.25">
      <c r="A3">
        <v>0.34</v>
      </c>
      <c r="B3">
        <v>45</v>
      </c>
      <c r="C3">
        <v>0</v>
      </c>
      <c r="D3">
        <v>0.2404</v>
      </c>
      <c r="E3">
        <v>0.2404</v>
      </c>
      <c r="F3">
        <v>0</v>
      </c>
      <c r="G3">
        <v>1.7642</v>
      </c>
      <c r="H3">
        <v>1.0456000000000001</v>
      </c>
      <c r="I3">
        <v>0.8347</v>
      </c>
      <c r="J3">
        <v>0.98860000000000003</v>
      </c>
      <c r="K3">
        <v>0.30209999999999998</v>
      </c>
      <c r="L3">
        <v>0.63439999999999996</v>
      </c>
      <c r="M3">
        <f t="shared" ref="M3:M25" si="0">ROUND(J3*255,0)</f>
        <v>252</v>
      </c>
      <c r="N3">
        <f t="shared" ref="N3:N25" si="1">ROUND(K3*255,0)</f>
        <v>77</v>
      </c>
      <c r="O3">
        <f t="shared" ref="O3:O25" si="2">ROUND(L3*255,0)</f>
        <v>162</v>
      </c>
      <c r="P3" s="53">
        <f t="shared" ref="P3:P9" si="3">M3+N3*256+O3*256^2</f>
        <v>10636796</v>
      </c>
      <c r="R3">
        <v>0.2404</v>
      </c>
      <c r="S3">
        <v>0.2404</v>
      </c>
      <c r="T3">
        <v>0</v>
      </c>
      <c r="W3" s="51"/>
    </row>
    <row r="4" spans="1:23" x14ac:dyDescent="0.25">
      <c r="A4">
        <v>0.95</v>
      </c>
      <c r="B4">
        <v>90</v>
      </c>
      <c r="C4">
        <v>0</v>
      </c>
      <c r="D4">
        <v>0</v>
      </c>
      <c r="E4">
        <v>0.95</v>
      </c>
      <c r="F4">
        <v>0</v>
      </c>
      <c r="G4">
        <v>1.5281</v>
      </c>
      <c r="H4">
        <v>1.2817000000000001</v>
      </c>
      <c r="I4">
        <v>1.3122</v>
      </c>
      <c r="J4">
        <v>0.53069999999999995</v>
      </c>
      <c r="K4">
        <v>0.44740000000000002</v>
      </c>
      <c r="L4">
        <v>0.99860000000000004</v>
      </c>
      <c r="M4">
        <f t="shared" si="0"/>
        <v>135</v>
      </c>
      <c r="N4">
        <f t="shared" si="1"/>
        <v>114</v>
      </c>
      <c r="O4">
        <f t="shared" si="2"/>
        <v>255</v>
      </c>
      <c r="P4" s="56">
        <f t="shared" si="3"/>
        <v>16740999</v>
      </c>
      <c r="R4">
        <v>0</v>
      </c>
      <c r="S4">
        <v>0.95</v>
      </c>
      <c r="T4">
        <v>0</v>
      </c>
      <c r="W4" s="52"/>
    </row>
    <row r="5" spans="1:23" x14ac:dyDescent="0.25">
      <c r="A5">
        <v>0.35</v>
      </c>
      <c r="B5">
        <v>135</v>
      </c>
      <c r="C5">
        <v>0</v>
      </c>
      <c r="D5">
        <v>-0.2475</v>
      </c>
      <c r="E5">
        <v>0.2475</v>
      </c>
      <c r="F5">
        <v>0</v>
      </c>
      <c r="G5">
        <v>1.2850999999999999</v>
      </c>
      <c r="H5">
        <v>1.5246999999999999</v>
      </c>
      <c r="I5">
        <v>0.83940000000000003</v>
      </c>
      <c r="J5">
        <v>1.2999999999999999E-2</v>
      </c>
      <c r="K5">
        <v>0.67630000000000001</v>
      </c>
      <c r="L5">
        <v>0.62139999999999995</v>
      </c>
      <c r="M5">
        <f t="shared" si="0"/>
        <v>3</v>
      </c>
      <c r="N5">
        <f t="shared" si="1"/>
        <v>172</v>
      </c>
      <c r="O5">
        <f t="shared" si="2"/>
        <v>158</v>
      </c>
      <c r="P5" s="59">
        <f t="shared" si="3"/>
        <v>10398723</v>
      </c>
      <c r="R5">
        <v>-0.2475</v>
      </c>
      <c r="S5">
        <v>0.2475</v>
      </c>
      <c r="T5">
        <v>0</v>
      </c>
      <c r="W5" s="53"/>
    </row>
    <row r="6" spans="1:23" x14ac:dyDescent="0.25">
      <c r="A6">
        <v>0.25</v>
      </c>
      <c r="B6">
        <v>180</v>
      </c>
      <c r="C6">
        <v>0</v>
      </c>
      <c r="D6">
        <v>-0.25</v>
      </c>
      <c r="E6">
        <v>0</v>
      </c>
      <c r="F6">
        <v>0</v>
      </c>
      <c r="G6">
        <v>1.2826</v>
      </c>
      <c r="H6">
        <v>1.5271999999999999</v>
      </c>
      <c r="I6">
        <v>0.67290000000000005</v>
      </c>
      <c r="J6">
        <v>0</v>
      </c>
      <c r="K6">
        <v>0.69189999999999996</v>
      </c>
      <c r="L6">
        <v>0.4914</v>
      </c>
      <c r="M6">
        <f t="shared" si="0"/>
        <v>0</v>
      </c>
      <c r="N6">
        <f t="shared" si="1"/>
        <v>176</v>
      </c>
      <c r="O6">
        <f t="shared" si="2"/>
        <v>125</v>
      </c>
      <c r="P6" s="62">
        <f t="shared" si="3"/>
        <v>8237056</v>
      </c>
      <c r="R6">
        <v>-0.25</v>
      </c>
      <c r="S6">
        <v>0</v>
      </c>
      <c r="T6">
        <v>0</v>
      </c>
      <c r="W6" s="54"/>
    </row>
    <row r="7" spans="1:23" x14ac:dyDescent="0.25">
      <c r="A7">
        <v>0.34</v>
      </c>
      <c r="B7">
        <v>225</v>
      </c>
      <c r="C7">
        <v>0</v>
      </c>
      <c r="D7">
        <v>-0.2404</v>
      </c>
      <c r="E7">
        <v>-0.2404</v>
      </c>
      <c r="F7">
        <v>0</v>
      </c>
      <c r="G7">
        <v>1.292</v>
      </c>
      <c r="H7">
        <v>1.5178</v>
      </c>
      <c r="I7">
        <v>0.5111</v>
      </c>
      <c r="J7">
        <v>1.14E-2</v>
      </c>
      <c r="K7">
        <v>0.69789999999999996</v>
      </c>
      <c r="L7">
        <v>0.36559999999999998</v>
      </c>
      <c r="M7">
        <f t="shared" si="0"/>
        <v>3</v>
      </c>
      <c r="N7">
        <f t="shared" si="1"/>
        <v>178</v>
      </c>
      <c r="O7">
        <f t="shared" si="2"/>
        <v>93</v>
      </c>
      <c r="P7" s="65">
        <f t="shared" si="3"/>
        <v>6140419</v>
      </c>
      <c r="R7">
        <v>-0.2404</v>
      </c>
      <c r="S7">
        <v>-0.2404</v>
      </c>
      <c r="T7">
        <v>0</v>
      </c>
      <c r="W7" s="55"/>
    </row>
    <row r="8" spans="1:23" x14ac:dyDescent="0.25">
      <c r="A8">
        <v>0.95</v>
      </c>
      <c r="B8">
        <v>270</v>
      </c>
      <c r="C8">
        <v>0</v>
      </c>
      <c r="D8">
        <v>0</v>
      </c>
      <c r="E8">
        <v>-0.95</v>
      </c>
      <c r="F8">
        <v>0</v>
      </c>
      <c r="G8">
        <v>1.5281</v>
      </c>
      <c r="H8">
        <v>1.2817000000000001</v>
      </c>
      <c r="I8">
        <v>3.3599999999999998E-2</v>
      </c>
      <c r="J8">
        <v>0.46929999999999999</v>
      </c>
      <c r="K8">
        <v>0.55259999999999998</v>
      </c>
      <c r="L8">
        <v>1.4E-3</v>
      </c>
      <c r="M8">
        <f t="shared" si="0"/>
        <v>120</v>
      </c>
      <c r="N8">
        <f t="shared" si="1"/>
        <v>141</v>
      </c>
      <c r="O8">
        <f t="shared" si="2"/>
        <v>0</v>
      </c>
      <c r="P8" s="68">
        <f t="shared" si="3"/>
        <v>36216</v>
      </c>
      <c r="R8">
        <v>0</v>
      </c>
      <c r="S8">
        <v>-0.95</v>
      </c>
      <c r="T8">
        <v>0</v>
      </c>
      <c r="W8" s="56"/>
    </row>
    <row r="9" spans="1:23" x14ac:dyDescent="0.25">
      <c r="A9">
        <v>0.35</v>
      </c>
      <c r="B9">
        <v>315</v>
      </c>
      <c r="C9">
        <v>0</v>
      </c>
      <c r="D9">
        <v>0.2475</v>
      </c>
      <c r="E9">
        <v>-0.2475</v>
      </c>
      <c r="F9">
        <v>0</v>
      </c>
      <c r="G9">
        <v>1.7710999999999999</v>
      </c>
      <c r="H9">
        <v>1.0387</v>
      </c>
      <c r="I9">
        <v>0.50639999999999996</v>
      </c>
      <c r="J9">
        <v>0.98699999999999999</v>
      </c>
      <c r="K9">
        <v>0.32369999999999999</v>
      </c>
      <c r="L9">
        <v>0.37859999999999999</v>
      </c>
      <c r="M9">
        <f t="shared" si="0"/>
        <v>252</v>
      </c>
      <c r="N9">
        <f t="shared" si="1"/>
        <v>83</v>
      </c>
      <c r="O9">
        <f t="shared" si="2"/>
        <v>97</v>
      </c>
      <c r="P9" s="71">
        <f t="shared" si="3"/>
        <v>6378492</v>
      </c>
      <c r="R9">
        <v>0.2475</v>
      </c>
      <c r="S9">
        <v>-0.2475</v>
      </c>
      <c r="T9">
        <v>0</v>
      </c>
      <c r="W9" s="57"/>
    </row>
    <row r="10" spans="1:23" x14ac:dyDescent="0.25">
      <c r="W10" s="58"/>
    </row>
    <row r="11" spans="1:23" x14ac:dyDescent="0.25">
      <c r="A11">
        <v>0.25</v>
      </c>
      <c r="B11">
        <v>0</v>
      </c>
      <c r="C11">
        <v>0</v>
      </c>
      <c r="D11">
        <v>0.25</v>
      </c>
      <c r="E11">
        <v>0</v>
      </c>
      <c r="F11">
        <v>0</v>
      </c>
      <c r="G11">
        <v>1.7736000000000001</v>
      </c>
      <c r="H11">
        <v>1.0362</v>
      </c>
      <c r="I11">
        <v>0.67290000000000005</v>
      </c>
      <c r="J11">
        <v>1</v>
      </c>
      <c r="K11">
        <v>0.30809999999999998</v>
      </c>
      <c r="L11">
        <v>0.50860000000000005</v>
      </c>
      <c r="M11">
        <f>ROUND(J11*255,0)</f>
        <v>255</v>
      </c>
      <c r="N11">
        <f>ROUND(K11*255,0)</f>
        <v>79</v>
      </c>
      <c r="O11">
        <f>ROUND(L11*255,0)</f>
        <v>130</v>
      </c>
      <c r="P11" s="50">
        <f>M11+N11*256+O11*256^2</f>
        <v>8540159</v>
      </c>
      <c r="W11" s="59"/>
    </row>
    <row r="12" spans="1:23" x14ac:dyDescent="0.25">
      <c r="A12">
        <v>0.35</v>
      </c>
      <c r="B12">
        <v>45</v>
      </c>
      <c r="C12">
        <v>0</v>
      </c>
      <c r="D12">
        <v>0.2475</v>
      </c>
      <c r="E12">
        <v>0.2475</v>
      </c>
      <c r="F12">
        <v>2.0400000000000001E-2</v>
      </c>
      <c r="G12">
        <v>1.7531000000000001</v>
      </c>
      <c r="H12">
        <v>1.0236000000000001</v>
      </c>
      <c r="I12">
        <v>0.83150000000000002</v>
      </c>
      <c r="J12">
        <v>0.99709999999999999</v>
      </c>
      <c r="K12">
        <v>0.29039999999999999</v>
      </c>
      <c r="L12">
        <v>0.63249999999999995</v>
      </c>
      <c r="M12">
        <f t="shared" ref="M12:M18" si="4">ROUND(J12*255,0)</f>
        <v>254</v>
      </c>
      <c r="N12">
        <f t="shared" ref="N12:N18" si="5">ROUND(K12*255,0)</f>
        <v>74</v>
      </c>
      <c r="O12">
        <f t="shared" ref="O12:O18" si="6">ROUND(L12*255,0)</f>
        <v>161</v>
      </c>
      <c r="P12" s="74">
        <f t="shared" ref="P12:P18" si="7">M12+N12*256+O12*256^2</f>
        <v>10570494</v>
      </c>
      <c r="W12" s="60"/>
    </row>
    <row r="13" spans="1:23" x14ac:dyDescent="0.25">
      <c r="A13">
        <v>0.99</v>
      </c>
      <c r="B13">
        <v>90</v>
      </c>
      <c r="C13">
        <v>0</v>
      </c>
      <c r="D13">
        <v>0</v>
      </c>
      <c r="E13">
        <v>0.99</v>
      </c>
      <c r="F13">
        <v>8.1699999999999995E-2</v>
      </c>
      <c r="G13">
        <v>1.456</v>
      </c>
      <c r="H13">
        <v>1.2213000000000001</v>
      </c>
      <c r="I13">
        <v>1.3073999999999999</v>
      </c>
      <c r="J13">
        <v>0.50839999999999996</v>
      </c>
      <c r="K13">
        <v>0.42159999999999997</v>
      </c>
      <c r="L13">
        <v>0.996</v>
      </c>
      <c r="M13">
        <f t="shared" si="4"/>
        <v>130</v>
      </c>
      <c r="N13">
        <f t="shared" si="5"/>
        <v>108</v>
      </c>
      <c r="O13">
        <f t="shared" si="6"/>
        <v>254</v>
      </c>
      <c r="P13" s="75">
        <f t="shared" si="7"/>
        <v>16673922</v>
      </c>
      <c r="W13" s="61"/>
    </row>
    <row r="14" spans="1:23" x14ac:dyDescent="0.25">
      <c r="A14">
        <v>0.35</v>
      </c>
      <c r="B14">
        <v>135</v>
      </c>
      <c r="C14">
        <v>0</v>
      </c>
      <c r="D14">
        <v>-0.2475</v>
      </c>
      <c r="E14" s="1">
        <v>0.2475</v>
      </c>
      <c r="F14">
        <v>2.0400000000000001E-2</v>
      </c>
      <c r="G14">
        <v>1.2670999999999999</v>
      </c>
      <c r="H14">
        <v>1.5096000000000001</v>
      </c>
      <c r="I14">
        <v>0.83150000000000002</v>
      </c>
      <c r="J14" s="1">
        <v>7.1000000000000004E-3</v>
      </c>
      <c r="K14">
        <v>0.6704</v>
      </c>
      <c r="L14">
        <v>0.61550000000000005</v>
      </c>
      <c r="M14">
        <f t="shared" si="4"/>
        <v>2</v>
      </c>
      <c r="N14">
        <f t="shared" si="5"/>
        <v>171</v>
      </c>
      <c r="O14">
        <f t="shared" si="6"/>
        <v>157</v>
      </c>
      <c r="P14" s="76">
        <f t="shared" si="7"/>
        <v>10332930</v>
      </c>
      <c r="W14" s="62"/>
    </row>
    <row r="15" spans="1:23" x14ac:dyDescent="0.25">
      <c r="A15">
        <v>0.25</v>
      </c>
      <c r="B15">
        <v>180</v>
      </c>
      <c r="C15">
        <v>0</v>
      </c>
      <c r="D15">
        <v>-0.25</v>
      </c>
      <c r="E15">
        <v>0</v>
      </c>
      <c r="F15">
        <v>0</v>
      </c>
      <c r="G15">
        <v>1.2826</v>
      </c>
      <c r="H15">
        <v>1.5271999999999999</v>
      </c>
      <c r="I15">
        <v>0.67290000000000005</v>
      </c>
      <c r="J15">
        <v>0</v>
      </c>
      <c r="K15">
        <v>0.69189999999999996</v>
      </c>
      <c r="L15">
        <v>0.4914</v>
      </c>
      <c r="M15">
        <f t="shared" si="4"/>
        <v>0</v>
      </c>
      <c r="N15">
        <f t="shared" si="5"/>
        <v>176</v>
      </c>
      <c r="O15">
        <f t="shared" si="6"/>
        <v>125</v>
      </c>
      <c r="P15" s="62">
        <f t="shared" si="7"/>
        <v>8237056</v>
      </c>
      <c r="W15" s="63"/>
    </row>
    <row r="16" spans="1:23" x14ac:dyDescent="0.25">
      <c r="A16">
        <v>0.35</v>
      </c>
      <c r="B16">
        <v>225</v>
      </c>
      <c r="C16">
        <v>0</v>
      </c>
      <c r="D16">
        <v>-0.2475</v>
      </c>
      <c r="E16">
        <v>-0.2475</v>
      </c>
      <c r="F16">
        <v>-2.0400000000000001E-2</v>
      </c>
      <c r="G16">
        <v>1.3030999999999999</v>
      </c>
      <c r="H16">
        <v>1.5398000000000001</v>
      </c>
      <c r="I16">
        <v>0.51429999999999998</v>
      </c>
      <c r="J16">
        <v>2.8999999999999998E-3</v>
      </c>
      <c r="K16">
        <v>0.70960000000000001</v>
      </c>
      <c r="L16">
        <v>0.36749999999999999</v>
      </c>
      <c r="M16">
        <f t="shared" si="4"/>
        <v>1</v>
      </c>
      <c r="N16">
        <f t="shared" si="5"/>
        <v>181</v>
      </c>
      <c r="O16">
        <f t="shared" si="6"/>
        <v>94</v>
      </c>
      <c r="P16" s="77">
        <f t="shared" si="7"/>
        <v>6206721</v>
      </c>
      <c r="W16" s="64"/>
    </row>
    <row r="17" spans="1:23" x14ac:dyDescent="0.25">
      <c r="A17">
        <v>0.99</v>
      </c>
      <c r="B17">
        <v>270</v>
      </c>
      <c r="C17">
        <v>0</v>
      </c>
      <c r="D17">
        <v>0</v>
      </c>
      <c r="E17">
        <v>-0.99</v>
      </c>
      <c r="F17">
        <v>-8.1699999999999995E-2</v>
      </c>
      <c r="G17">
        <v>1.6002000000000001</v>
      </c>
      <c r="H17">
        <v>1.3421000000000001</v>
      </c>
      <c r="I17">
        <v>3.85E-2</v>
      </c>
      <c r="J17">
        <v>0.49159999999999998</v>
      </c>
      <c r="K17">
        <v>0.57840000000000003</v>
      </c>
      <c r="L17">
        <v>4.0000000000000001E-3</v>
      </c>
      <c r="M17">
        <f t="shared" si="4"/>
        <v>125</v>
      </c>
      <c r="N17">
        <f t="shared" si="5"/>
        <v>147</v>
      </c>
      <c r="O17">
        <f t="shared" si="6"/>
        <v>1</v>
      </c>
      <c r="P17" s="78">
        <f t="shared" si="7"/>
        <v>103293</v>
      </c>
      <c r="W17" s="65"/>
    </row>
    <row r="18" spans="1:23" x14ac:dyDescent="0.25">
      <c r="A18">
        <v>0.35</v>
      </c>
      <c r="B18">
        <v>315</v>
      </c>
      <c r="C18">
        <v>0</v>
      </c>
      <c r="D18">
        <v>0.2475</v>
      </c>
      <c r="E18">
        <v>-0.2475</v>
      </c>
      <c r="F18">
        <v>-2.0400000000000001E-2</v>
      </c>
      <c r="G18">
        <v>1.7890999999999999</v>
      </c>
      <c r="H18">
        <v>1.0538000000000001</v>
      </c>
      <c r="I18">
        <v>0.51429999999999998</v>
      </c>
      <c r="J18">
        <v>0.9929</v>
      </c>
      <c r="K18">
        <v>0.3296</v>
      </c>
      <c r="L18">
        <v>0.38450000000000001</v>
      </c>
      <c r="M18">
        <f t="shared" si="4"/>
        <v>253</v>
      </c>
      <c r="N18">
        <f t="shared" si="5"/>
        <v>84</v>
      </c>
      <c r="O18">
        <f t="shared" si="6"/>
        <v>98</v>
      </c>
      <c r="P18" s="79">
        <f t="shared" si="7"/>
        <v>6444285</v>
      </c>
      <c r="W18" s="66"/>
    </row>
    <row r="19" spans="1:23" x14ac:dyDescent="0.25">
      <c r="W19" s="67"/>
    </row>
    <row r="20" spans="1:23" x14ac:dyDescent="0.25">
      <c r="D20" s="1"/>
      <c r="W20" s="68"/>
    </row>
    <row r="21" spans="1:23" x14ac:dyDescent="0.25">
      <c r="W21" s="69"/>
    </row>
    <row r="22" spans="1:23" x14ac:dyDescent="0.25">
      <c r="W22" s="70"/>
    </row>
    <row r="23" spans="1:23" x14ac:dyDescent="0.25">
      <c r="W23" s="71"/>
    </row>
    <row r="24" spans="1:23" x14ac:dyDescent="0.25">
      <c r="W24" s="72"/>
    </row>
    <row r="25" spans="1:23" x14ac:dyDescent="0.25">
      <c r="W25" s="73"/>
    </row>
    <row r="26" spans="1:23" x14ac:dyDescent="0.25">
      <c r="W26" s="73"/>
    </row>
    <row r="27" spans="1:23" x14ac:dyDescent="0.25">
      <c r="A27" t="s">
        <v>38</v>
      </c>
      <c r="B27" t="s">
        <v>39</v>
      </c>
    </row>
    <row r="28" spans="1:23" x14ac:dyDescent="0.25">
      <c r="A28">
        <v>0.25</v>
      </c>
      <c r="B28">
        <v>0</v>
      </c>
      <c r="C28">
        <v>0</v>
      </c>
    </row>
    <row r="29" spans="1:23" x14ac:dyDescent="0.25">
      <c r="A29">
        <v>0.25</v>
      </c>
      <c r="B29">
        <v>15</v>
      </c>
      <c r="C29">
        <v>0</v>
      </c>
    </row>
    <row r="30" spans="1:23" x14ac:dyDescent="0.25">
      <c r="A30">
        <v>0.28000000000000003</v>
      </c>
      <c r="B30">
        <v>30</v>
      </c>
      <c r="C30">
        <v>0</v>
      </c>
    </row>
    <row r="31" spans="1:23" x14ac:dyDescent="0.25">
      <c r="A31" s="2">
        <v>0.35</v>
      </c>
      <c r="B31">
        <v>45</v>
      </c>
      <c r="C31">
        <v>0</v>
      </c>
    </row>
    <row r="32" spans="1:23" x14ac:dyDescent="0.25">
      <c r="A32" s="2">
        <v>0.49</v>
      </c>
      <c r="B32">
        <v>60</v>
      </c>
      <c r="C32">
        <v>0</v>
      </c>
    </row>
    <row r="33" spans="1:3" x14ac:dyDescent="0.25">
      <c r="A33" s="2">
        <v>0.95</v>
      </c>
      <c r="B33">
        <v>75</v>
      </c>
      <c r="C33">
        <v>0</v>
      </c>
    </row>
    <row r="34" spans="1:3" x14ac:dyDescent="0.25">
      <c r="A34" s="2">
        <v>0.99</v>
      </c>
      <c r="B34">
        <v>90</v>
      </c>
      <c r="C34">
        <v>0</v>
      </c>
    </row>
    <row r="35" spans="1:3" x14ac:dyDescent="0.25">
      <c r="A35" s="2">
        <v>0.98</v>
      </c>
      <c r="B35">
        <v>105</v>
      </c>
      <c r="C35">
        <v>0</v>
      </c>
    </row>
    <row r="36" spans="1:3" x14ac:dyDescent="0.25">
      <c r="A36" s="2">
        <v>0.5</v>
      </c>
      <c r="B36">
        <v>120</v>
      </c>
      <c r="C36">
        <v>0</v>
      </c>
    </row>
    <row r="37" spans="1:3" x14ac:dyDescent="0.25">
      <c r="A37">
        <v>0.35</v>
      </c>
      <c r="B37">
        <v>135</v>
      </c>
      <c r="C37">
        <v>0</v>
      </c>
    </row>
    <row r="38" spans="1:3" x14ac:dyDescent="0.25">
      <c r="A38" s="2">
        <v>0.28000000000000003</v>
      </c>
      <c r="B38">
        <v>150</v>
      </c>
      <c r="C38">
        <v>0</v>
      </c>
    </row>
    <row r="39" spans="1:3" x14ac:dyDescent="0.25">
      <c r="A39">
        <v>0.25</v>
      </c>
      <c r="B39">
        <v>165</v>
      </c>
      <c r="C39">
        <v>0</v>
      </c>
    </row>
    <row r="40" spans="1:3" x14ac:dyDescent="0.25">
      <c r="A40">
        <v>0.25</v>
      </c>
      <c r="B40">
        <v>180</v>
      </c>
      <c r="C40">
        <v>0</v>
      </c>
    </row>
    <row r="41" spans="1:3" x14ac:dyDescent="0.25">
      <c r="A41">
        <v>0.25</v>
      </c>
      <c r="B41">
        <v>195</v>
      </c>
      <c r="C41">
        <v>0</v>
      </c>
    </row>
    <row r="42" spans="1:3" x14ac:dyDescent="0.25">
      <c r="A42">
        <v>0.28000000000000003</v>
      </c>
      <c r="B42">
        <v>210</v>
      </c>
      <c r="C42">
        <v>0</v>
      </c>
    </row>
    <row r="43" spans="1:3" x14ac:dyDescent="0.25">
      <c r="A43" s="2">
        <v>0.35</v>
      </c>
      <c r="B43">
        <v>225</v>
      </c>
      <c r="C43">
        <v>0</v>
      </c>
    </row>
    <row r="44" spans="1:3" x14ac:dyDescent="0.25">
      <c r="A44" s="2">
        <v>0.49</v>
      </c>
      <c r="B44">
        <v>240</v>
      </c>
      <c r="C44">
        <v>0</v>
      </c>
    </row>
    <row r="45" spans="1:3" x14ac:dyDescent="0.25">
      <c r="A45" s="2">
        <v>0.95</v>
      </c>
      <c r="B45">
        <v>255</v>
      </c>
      <c r="C45">
        <v>0</v>
      </c>
    </row>
    <row r="46" spans="1:3" x14ac:dyDescent="0.25">
      <c r="A46" s="2">
        <v>0.99</v>
      </c>
      <c r="B46">
        <v>270</v>
      </c>
      <c r="C46">
        <v>0</v>
      </c>
    </row>
    <row r="47" spans="1:3" x14ac:dyDescent="0.25">
      <c r="A47" s="2">
        <v>0.98</v>
      </c>
      <c r="B47">
        <v>285</v>
      </c>
      <c r="C47">
        <v>0</v>
      </c>
    </row>
    <row r="48" spans="1:3" x14ac:dyDescent="0.25">
      <c r="A48" s="2">
        <v>0.5</v>
      </c>
      <c r="B48">
        <v>300</v>
      </c>
      <c r="C48">
        <v>0</v>
      </c>
    </row>
    <row r="49" spans="1:3" x14ac:dyDescent="0.25">
      <c r="A49">
        <v>0.35</v>
      </c>
      <c r="B49">
        <v>315</v>
      </c>
      <c r="C49">
        <v>0</v>
      </c>
    </row>
    <row r="50" spans="1:3" x14ac:dyDescent="0.25">
      <c r="A50" s="2">
        <v>0.28000000000000003</v>
      </c>
      <c r="B50">
        <v>330</v>
      </c>
      <c r="C50">
        <v>0</v>
      </c>
    </row>
    <row r="51" spans="1:3" x14ac:dyDescent="0.25">
      <c r="A51">
        <v>0.25</v>
      </c>
      <c r="B51">
        <v>345</v>
      </c>
      <c r="C51"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Zoey</vt:lpstr>
      <vt:lpstr>Ellipse cont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SO-PC</dc:creator>
  <cp:lastModifiedBy>SO-PC</cp:lastModifiedBy>
  <dcterms:created xsi:type="dcterms:W3CDTF">2015-06-05T18:17:20Z</dcterms:created>
  <dcterms:modified xsi:type="dcterms:W3CDTF">2022-06-14T22:21:07Z</dcterms:modified>
</cp:coreProperties>
</file>